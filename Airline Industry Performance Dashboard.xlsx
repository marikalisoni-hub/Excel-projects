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marik\Downloads\"/>
    </mc:Choice>
  </mc:AlternateContent>
  <xr:revisionPtr revIDLastSave="0" documentId="13_ncr:1_{462C8E02-FA88-4733-99E7-458078EA9A0C}" xr6:coauthVersionLast="47" xr6:coauthVersionMax="47" xr10:uidLastSave="{00000000-0000-0000-0000-000000000000}"/>
  <bookViews>
    <workbookView xWindow="-110" yWindow="-110" windowWidth="19420" windowHeight="10300" activeTab="1" xr2:uid="{00000000-000D-0000-FFFF-FFFF00000000}"/>
  </bookViews>
  <sheets>
    <sheet name="Overview" sheetId="11" r:id="rId1"/>
    <sheet name="Dashboard" sheetId="10" r:id="rId2"/>
    <sheet name="RevenueLomg" sheetId="9" r:id="rId3"/>
    <sheet name="RevenueRaw" sheetId="2" r:id="rId4"/>
    <sheet name="NetIncomeLong" sheetId="8" r:id="rId5"/>
    <sheet name="NetIncomeRaw" sheetId="3" r:id="rId6"/>
    <sheet name="NameLookup" sheetId="4" r:id="rId7"/>
    <sheet name="CompanyMaster" sheetId="5" r:id="rId8"/>
  </sheets>
  <definedNames>
    <definedName name="ExternalData_1" localSheetId="4" hidden="1">NetIncomeLong!$A$1:$C$46</definedName>
    <definedName name="ExternalData_1" localSheetId="2" hidden="1">RevenueLomg!$A$1:$C$46</definedName>
    <definedName name="Slicer_Company">#N/A</definedName>
    <definedName name="Slicer_Segment">#N/A</definedName>
    <definedName name="Slicer_Year">#N/A</definedName>
  </definedNames>
  <calcPr calcId="191029"/>
  <pivotCaches>
    <pivotCache cacheId="95" r:id="rId9"/>
  </pivotCaches>
  <extLst>
    <ext xmlns:x14="http://schemas.microsoft.com/office/spreadsheetml/2009/9/main" uri="{876F7934-8845-4945-9796-88D515C7AA90}">
      <x14:pivotCaches>
        <pivotCache cacheId="82"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83" r:id="rId14"/>
        <pivotCache cacheId="86" r:id="rId15"/>
        <pivotCache cacheId="89" r:id="rId16"/>
      </x15:pivotCaches>
    </ext>
    <ext xmlns:x15="http://schemas.microsoft.com/office/spreadsheetml/2010/11/main" uri="{983426D0-5260-488c-9760-48F4B6AC55F4}">
      <x15:pivotTableReferences>
        <x15:pivotTableReference r:id="rId17"/>
        <x15:pivotTableReference r:id="rId18"/>
        <x15:pivotTableReference r:id="rId19"/>
      </x15:pivotTableReferences>
    </ext>
    <ext xmlns:x15="http://schemas.microsoft.com/office/spreadsheetml/2010/11/main" uri="{FCE2AD5D-F65C-4FA6-A056-5C36A1767C68}">
      <x15:dataModel>
        <x15:modelTables>
          <x15:modelTable id="Companies_42f6da36-bf0d-427d-89e9-e21e5745a1dd" name="Companies" connection="Query - Companies"/>
          <x15:modelTable id="Financials_a0dae99d-aafe-4c4c-b02f-f746816fb206" name="Financials" connection="Query - Financials"/>
          <x15:modelTable id="Year_61152b90-256d-42e3-bff0-099327efc888" name="Year" connection="Query - Year"/>
        </x15:modelTables>
        <x15:modelRelationships>
          <x15:modelRelationship fromTable="Financials" fromColumn="Ticker" toTable="Companies" toColumn="Ticker"/>
          <x15:modelRelationship fromTable="Financials" fromColumn="Year" toTable="Year"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1" l="1" a="1"/>
  <c r="B18" i="11" s="1"/>
  <c r="B19" i="11" a="1"/>
  <c r="B19" i="11" s="1"/>
  <c r="B20" i="11" a="1"/>
  <c r="B20" i="11" s="1"/>
  <c r="B14" i="11"/>
  <c r="B11" i="11"/>
  <c r="B12" i="11"/>
  <c r="B15" i="11"/>
  <c r="B10" i="11"/>
  <c r="B9" i="11" a="1"/>
  <c r="B9" i="11" s="1"/>
  <c r="B8" i="11"/>
  <c r="B21" i="11" l="1"/>
  <c r="C20" i="11" s="1"/>
  <c r="B13" i="11"/>
  <c r="C19" i="11" l="1"/>
  <c r="C18" i="11"/>
  <c r="C2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EE0462-AC3F-4B2C-A000-B89C6B079D37}" name="Query - Companies" description="Connection to the 'Companies' query in the workbook." type="100" refreshedVersion="8" minRefreshableVersion="5">
    <extLst>
      <ext xmlns:x15="http://schemas.microsoft.com/office/spreadsheetml/2010/11/main" uri="{DE250136-89BD-433C-8126-D09CA5730AF9}">
        <x15:connection id="6b6a650c-c92b-4d57-a8a4-2381cf36edf6">
          <x15:oledbPr connection="Provider=Microsoft.Mashup.OleDb.1;Data Source=$Workbook$;Location=Companies;Extended Properties=&quot;&quot;">
            <x15:dbTables>
              <x15:dbTable name="Companies"/>
            </x15:dbTables>
          </x15:oledbPr>
        </x15:connection>
      </ext>
    </extLst>
  </connection>
  <connection id="2" xr16:uid="{95E02411-E6AD-47F7-88A2-5EAB2CEBB262}" name="Query - Financials" description="Connection to the 'Financials' query in the workbook." type="100" refreshedVersion="8" minRefreshableVersion="5">
    <extLst>
      <ext xmlns:x15="http://schemas.microsoft.com/office/spreadsheetml/2010/11/main" uri="{DE250136-89BD-433C-8126-D09CA5730AF9}">
        <x15:connection id="c2beb71d-a398-4f83-a04f-aa55c8723d6a">
          <x15:oledbPr connection="Provider=Microsoft.Mashup.OleDb.1;Data Source=$Workbook$;Location=Financials;Extended Properties=&quot;&quot;">
            <x15:dbTables>
              <x15:dbTable name="Financials"/>
            </x15:dbTables>
          </x15:oledbPr>
        </x15:connection>
      </ext>
    </extLst>
  </connection>
  <connection id="3" xr16:uid="{FFAEB176-9B53-4E4F-9F39-936FF1CC3333}" keepAlive="1" name="Query - NetIncomeLong" description="Connection to the 'NetIncomeLong' query in the workbook." type="5" refreshedVersion="8" background="1" saveData="1">
    <dbPr connection="Provider=Microsoft.Mashup.OleDb.1;Data Source=$Workbook$;Location=NetIncomeLong;Extended Properties=&quot;&quot;" command="SELECT * FROM [NetIncomeLong]"/>
  </connection>
  <connection id="4" xr16:uid="{D8B3BC08-44E3-4C0B-92F2-E2AB6E26D469}" keepAlive="1" name="Query - RevenueLong" description="Connection to the 'RevenueLong' query in the workbook." type="5" refreshedVersion="8" background="1" saveData="1">
    <dbPr connection="Provider=Microsoft.Mashup.OleDb.1;Data Source=$Workbook$;Location=RevenueLong;Extended Properties=&quot;&quot;" command="SELECT * FROM [RevenueLong]"/>
  </connection>
  <connection id="5" xr16:uid="{DED47D71-3DC5-44E2-AE52-1D23BA9E7B62}" keepAlive="1" name="Query - Ticker" description="Connection to the 'Ticker' query in the workbook." type="5" refreshedVersion="0" background="1">
    <dbPr connection="Provider=Microsoft.Mashup.OleDb.1;Data Source=$Workbook$;Location=Ticker;Extended Properties=&quot;&quot;" command="SELECT * FROM [Ticker]"/>
  </connection>
  <connection id="6" xr16:uid="{F80E1E0F-8025-40E1-8E45-0C099E138B08}" name="Query - Year" description="Connection to the 'Year' query in the workbook." type="100" refreshedVersion="8" minRefreshableVersion="5">
    <extLst>
      <ext xmlns:x15="http://schemas.microsoft.com/office/spreadsheetml/2010/11/main" uri="{DE250136-89BD-433C-8126-D09CA5730AF9}">
        <x15:connection id="1407bf9e-0689-4204-8443-7276add7d09a"/>
      </ext>
    </extLst>
  </connection>
  <connection id="7" xr16:uid="{279F5BA6-9C58-497F-9F9A-223E580CDD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Year].[Year].[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<sst xmlns="http://schemas.openxmlformats.org/spreadsheetml/2006/main" count="330" uniqueCount="142">
  <si>
    <t>US Airline Operating Revenue ($ millions) — RAW PULL, clean before use</t>
  </si>
  <si>
    <t>Company</t>
  </si>
  <si>
    <t>Delta Air Lines</t>
  </si>
  <si>
    <t>United Airlines</t>
  </si>
  <si>
    <t>15,355</t>
  </si>
  <si>
    <t>24,634</t>
  </si>
  <si>
    <t>44,955</t>
  </si>
  <si>
    <t>53,717</t>
  </si>
  <si>
    <t>57,063</t>
  </si>
  <si>
    <t>American Airlines Group</t>
  </si>
  <si>
    <t xml:space="preserve">Southwest </t>
  </si>
  <si>
    <t>$9,048</t>
  </si>
  <si>
    <t>$15,790</t>
  </si>
  <si>
    <t>$23,814</t>
  </si>
  <si>
    <t>$26,091</t>
  </si>
  <si>
    <t>$27,483</t>
  </si>
  <si>
    <t>Alaska Air</t>
  </si>
  <si>
    <t>JetBlue Airways</t>
  </si>
  <si>
    <t>Spirit Airlines</t>
  </si>
  <si>
    <t>Frontier (ULCC)</t>
  </si>
  <si>
    <t xml:space="preserve">Allegiant </t>
  </si>
  <si>
    <t>Industry total (approx) — IGNORE</t>
  </si>
  <si>
    <t>Source: macrotrends.net / company 10-Ks, retrieved Jun 2026. $M unless noted.</t>
  </si>
  <si>
    <t>Net income (US$ mn) — some years missing, verify</t>
  </si>
  <si>
    <t>Ticker</t>
  </si>
  <si>
    <t>FY2020</t>
  </si>
  <si>
    <t>FY2021</t>
  </si>
  <si>
    <t>FY2022</t>
  </si>
  <si>
    <t>FY2023</t>
  </si>
  <si>
    <t>FY2024</t>
  </si>
  <si>
    <t>DAL</t>
  </si>
  <si>
    <t>(12,385)</t>
  </si>
  <si>
    <t>280</t>
  </si>
  <si>
    <t>1,318</t>
  </si>
  <si>
    <t>4,609</t>
  </si>
  <si>
    <t>3,457</t>
  </si>
  <si>
    <t>UAL</t>
  </si>
  <si>
    <t>(7,069)</t>
  </si>
  <si>
    <t>(1,964)</t>
  </si>
  <si>
    <t>737</t>
  </si>
  <si>
    <t>2,618</t>
  </si>
  <si>
    <t>3,149</t>
  </si>
  <si>
    <t>AAL</t>
  </si>
  <si>
    <t>(8,885)</t>
  </si>
  <si>
    <t>(1,993)</t>
  </si>
  <si>
    <t>127</t>
  </si>
  <si>
    <t>822</t>
  </si>
  <si>
    <t>846</t>
  </si>
  <si>
    <t>LUV</t>
  </si>
  <si>
    <t>(3,074)</t>
  </si>
  <si>
    <t>977</t>
  </si>
  <si>
    <t>539</t>
  </si>
  <si>
    <t>465</t>
  </si>
  <si>
    <t>ALK</t>
  </si>
  <si>
    <t>(1,313)</t>
  </si>
  <si>
    <t>478</t>
  </si>
  <si>
    <t>58</t>
  </si>
  <si>
    <t>235</t>
  </si>
  <si>
    <t>395</t>
  </si>
  <si>
    <t>JBLU</t>
  </si>
  <si>
    <t>(1,354)</t>
  </si>
  <si>
    <t>(182)</t>
  </si>
  <si>
    <t>(362)</t>
  </si>
  <si>
    <t>(310)</t>
  </si>
  <si>
    <t>(795)</t>
  </si>
  <si>
    <t>SAVE</t>
  </si>
  <si>
    <t>(429)</t>
  </si>
  <si>
    <t>(440)</t>
  </si>
  <si>
    <t>(545)</t>
  </si>
  <si>
    <t>(447)</t>
  </si>
  <si>
    <t>ULCC</t>
  </si>
  <si>
    <t>(225)</t>
  </si>
  <si>
    <t>(102)</t>
  </si>
  <si>
    <t>0</t>
  </si>
  <si>
    <t>(11)</t>
  </si>
  <si>
    <t>ALGT</t>
  </si>
  <si>
    <t>Source: macrotrends.net net income pages, retrieved Jun 2026.</t>
  </si>
  <si>
    <t>Raw Name</t>
  </si>
  <si>
    <t>Southwest</t>
  </si>
  <si>
    <t>Allegiant</t>
  </si>
  <si>
    <t>Segment</t>
  </si>
  <si>
    <t>Country</t>
  </si>
  <si>
    <t>FY End</t>
  </si>
  <si>
    <t>Network/Legacy</t>
  </si>
  <si>
    <t>USA</t>
  </si>
  <si>
    <t>Dec</t>
  </si>
  <si>
    <t>American Airlines</t>
  </si>
  <si>
    <t>Alaska Air Group</t>
  </si>
  <si>
    <t>Southwest Airlines</t>
  </si>
  <si>
    <t>Low-Cost Carrier</t>
  </si>
  <si>
    <t>Ultra-Low-Cost</t>
  </si>
  <si>
    <t>Frontier Group</t>
  </si>
  <si>
    <t>Allegiant Travel</t>
  </si>
  <si>
    <t>Column1</t>
  </si>
  <si>
    <t>Column2</t>
  </si>
  <si>
    <t>Column3</t>
  </si>
  <si>
    <t>Column4</t>
  </si>
  <si>
    <t>Column5</t>
  </si>
  <si>
    <t>Column6</t>
  </si>
  <si>
    <t>Year</t>
  </si>
  <si>
    <t>Value</t>
  </si>
  <si>
    <t>Attribute</t>
  </si>
  <si>
    <t>Revenue</t>
  </si>
  <si>
    <t>Total revenue</t>
  </si>
  <si>
    <t>Net Margin %</t>
  </si>
  <si>
    <t>Revenue 3Y CAGR %</t>
  </si>
  <si>
    <t>Values</t>
  </si>
  <si>
    <t>All</t>
  </si>
  <si>
    <t>Revenue recovery by segment, FY20–24 ($M)</t>
  </si>
  <si>
    <t>YoY revenue growth</t>
  </si>
  <si>
    <t>Net margin by carrier, by year</t>
  </si>
  <si>
    <t>KPI table, by year</t>
  </si>
  <si>
    <t>Airline Industry Performance Dashboard</t>
  </si>
  <si>
    <t>FY 2020 – 2024  |  Revenue, Margin &amp; Growth Overview</t>
  </si>
  <si>
    <t>Airline Industry Performance Dashboard — Project Overview</t>
  </si>
  <si>
    <t>US carriers  ·  FY2020–FY2024  ·  Revenue recovery, profitability &amp; growth analysis</t>
  </si>
  <si>
    <t>About this workbook</t>
  </si>
  <si>
    <t>At a glance</t>
  </si>
  <si>
    <t>Carriers covered</t>
  </si>
  <si>
    <t>Market segments</t>
  </si>
  <si>
    <t>Fiscal years covered</t>
  </si>
  <si>
    <t>Industry revenue, FY2020 ($M)</t>
  </si>
  <si>
    <t>Industry revenue, FY2024 ($M)</t>
  </si>
  <si>
    <t>Revenue recovery, FY2020→FY2024</t>
  </si>
  <si>
    <t>Cumulative net income, FY2020–24 ($M)</t>
  </si>
  <si>
    <t>Carriers with negative 5-yr net margin</t>
  </si>
  <si>
    <t>Revenue ($M)</t>
  </si>
  <si>
    <t>Share</t>
  </si>
  <si>
    <t>Industry total</t>
  </si>
  <si>
    <t>Key insights</t>
  </si>
  <si>
    <t>Data sources &amp; methodology</t>
  </si>
  <si>
    <t>Revenue by segment (5-yr total)</t>
  </si>
  <si>
    <t>Network / Legacy  (DAL, UAL, AAL, ALK)</t>
  </si>
  <si>
    <t>Low-Cost  (LUV, JBLU)</t>
  </si>
  <si>
    <t>Ultra-Low-Cost  (SAVE, ULCC, ALGT)</t>
  </si>
  <si>
    <t>This workbook tracks the financial performance of nine publicly-listed US airlines across fiscal years 2020–2024 , spanning the COVID-19 collapse in air travel and the multi-year recovery that followed. It consolidates raw revenue and net-income pulls into clean, analysis-ready tables, classifies each carrier by business model (network/legacy, low-cost, ultra-low-cost), and surfaces the results on an interactive Dashboard. The goal is to answer three questions: how fast did revenue recover, which carriers returned to profitability, and how does performance differ across airline business models.</t>
  </si>
  <si>
    <t>3.  Network / legacy carriers dominate (~78% of revenue) and recovered fastest.</t>
  </si>
  <si>
    <t>4.  Margins vary widely: best Alaska −0.4% and Southwest −0.6%; worst Spirit −15.2% and JetBlue −8.1%.</t>
  </si>
  <si>
    <t>1.  Revenue tripled off the 2020 low: ~$69bn to ~$233bn (+235%), mostly back by FY2022.</t>
  </si>
  <si>
    <t>Source: company 10-K filings and macrotrends.net (retrieved Jun 2026), US$ millions. Raw pulls are cleaned into long-format tables (RevenueLong, NetIncomeLong) and classified by segment in CompanyMaster. The Dashboard shows revenue recovery, YoY growth and net margin by carrier.</t>
  </si>
  <si>
    <t xml:space="preserve">2.  Recovery ≠ profit: all nine carriers posted a negative 5-year net margin </t>
  </si>
  <si>
    <t>5.  By FY2024, six of nine carriers were profitable; JetBlue, Spirit and Allegiant were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</si>
</sst>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
    <numFmt numFmtId="165" formatCode="0.0\ %;\-0.0\ %;0.0\ %"/>
    <numFmt numFmtId="166" formatCode="0.00\ %;\-0.00\ %;0.00\ %"/>
    <numFmt numFmtId="168" formatCode="\+0.0%;\-0.0%"/>
    <numFmt numFmtId="170" formatCode="0.0%"/>
    <numFmt numFmtId="171" formatCode="#,##0;\(#,##0\)"/>
  </numFmts>
  <fonts count="14" x14ac:knownFonts="1">
    <font>
      <sz val="11"/>
      <color theme="1"/>
      <name val="Calibri"/>
      <family val="2"/>
      <scheme val="minor"/>
    </font>
    <font>
      <b/>
      <sz val="11"/>
      <name val="Arial"/>
      <family val="2"/>
    </font>
    <font>
      <b/>
      <sz val="11"/>
      <color theme="1"/>
      <name val="Calibri"/>
      <family val="2"/>
      <scheme val="minor"/>
    </font>
    <font>
      <sz val="8"/>
      <name val="Calibri"/>
      <family val="2"/>
      <scheme val="minor"/>
    </font>
    <font>
      <sz val="11"/>
      <color rgb="FF000000"/>
      <name val="Calibri"/>
      <family val="2"/>
      <scheme val="minor"/>
    </font>
    <font>
      <b/>
      <sz val="11"/>
      <color rgb="FFFFFFFF"/>
      <name val="Calibri"/>
      <family val="2"/>
      <scheme val="minor"/>
    </font>
    <font>
      <b/>
      <sz val="18"/>
      <color rgb="FFFFFFFF"/>
      <name val="Calibri"/>
      <family val="2"/>
      <scheme val="minor"/>
    </font>
    <font>
      <i/>
      <sz val="10"/>
      <color rgb="FFBFD3E8"/>
      <name val="Calibri"/>
      <family val="2"/>
      <scheme val="minor"/>
    </font>
    <font>
      <b/>
      <sz val="12"/>
      <color rgb="FF1F3864"/>
      <name val="Calibri"/>
      <family val="2"/>
      <scheme val="minor"/>
    </font>
    <font>
      <b/>
      <sz val="18"/>
      <color rgb="FFFFFFFF"/>
      <name val="Calibri"/>
      <scheme val="minor"/>
    </font>
    <font>
      <sz val="11"/>
      <color rgb="FFBFD3E8"/>
      <name val="Calibri"/>
      <scheme val="minor"/>
    </font>
    <font>
      <b/>
      <sz val="12"/>
      <color rgb="FF1F3864"/>
      <name val="Calibri"/>
      <scheme val="minor"/>
    </font>
    <font>
      <sz val="11"/>
      <color rgb="FF000000"/>
      <name val="Calibri"/>
      <scheme val="minor"/>
    </font>
    <font>
      <b/>
      <sz val="11"/>
      <color rgb="FFFFFFFF"/>
      <name val="Calibri"/>
      <scheme val="minor"/>
    </font>
  </fonts>
  <fills count="7">
    <fill>
      <patternFill patternType="none"/>
    </fill>
    <fill>
      <patternFill patternType="gray125"/>
    </fill>
    <fill>
      <patternFill patternType="solid">
        <fgColor rgb="FFD9E1F2"/>
      </patternFill>
    </fill>
    <fill>
      <patternFill patternType="solid">
        <fgColor rgb="FFFFF2CC"/>
      </patternFill>
    </fill>
    <fill>
      <patternFill patternType="solid">
        <fgColor rgb="FF1F3864"/>
        <bgColor indexed="64"/>
      </patternFill>
    </fill>
    <fill>
      <patternFill patternType="solid">
        <fgColor rgb="FFEEF1F5"/>
        <bgColor indexed="64"/>
      </patternFill>
    </fill>
    <fill>
      <patternFill patternType="solid">
        <fgColor rgb="FFFFFFFF"/>
        <bgColor indexed="64"/>
      </patternFill>
    </fill>
  </fills>
  <borders count="27">
    <border>
      <left/>
      <right/>
      <top/>
      <bottom/>
      <diagonal/>
    </border>
    <border>
      <left/>
      <right/>
      <top style="thin">
        <color rgb="FFD9DEE6"/>
      </top>
      <bottom/>
      <diagonal/>
    </border>
    <border>
      <left/>
      <right/>
      <top/>
      <bottom style="thin">
        <color rgb="FFD9DEE6"/>
      </bottom>
      <diagonal/>
    </border>
    <border>
      <left style="thin">
        <color rgb="FFD9DEE6"/>
      </left>
      <right/>
      <top style="thin">
        <color rgb="FFD9DEE6"/>
      </top>
      <bottom/>
      <diagonal/>
    </border>
    <border>
      <left style="thin">
        <color rgb="FFD9DEE6"/>
      </left>
      <right/>
      <top/>
      <bottom/>
      <diagonal/>
    </border>
    <border>
      <left style="thin">
        <color rgb="FFD9DEE6"/>
      </left>
      <right/>
      <top/>
      <bottom style="thin">
        <color rgb="FFD9DEE6"/>
      </bottom>
      <diagonal/>
    </border>
    <border>
      <left style="thin">
        <color rgb="FFD9DEE6"/>
      </left>
      <right style="thin">
        <color rgb="FFD9DEE6"/>
      </right>
      <top style="thin">
        <color rgb="FFD9DEE6"/>
      </top>
      <bottom style="thin">
        <color rgb="FFD9DEE6"/>
      </bottom>
      <diagonal/>
    </border>
    <border>
      <left/>
      <right style="thin">
        <color rgb="FFD9DEE6"/>
      </right>
      <top style="thin">
        <color rgb="FFD9DEE6"/>
      </top>
      <bottom/>
      <diagonal/>
    </border>
    <border>
      <left/>
      <right style="thin">
        <color rgb="FFD9DEE6"/>
      </right>
      <top/>
      <bottom/>
      <diagonal/>
    </border>
    <border>
      <left/>
      <right style="thin">
        <color rgb="FFD9DEE6"/>
      </right>
      <top/>
      <bottom style="thin">
        <color rgb="FFD9DEE6"/>
      </bottom>
      <diagonal/>
    </border>
    <border>
      <left/>
      <right/>
      <top/>
      <bottom style="medium">
        <color rgb="FF1F3864"/>
      </bottom>
      <diagonal/>
    </border>
    <border>
      <left style="thin">
        <color rgb="FFC9D2E0"/>
      </left>
      <right/>
      <top style="thin">
        <color rgb="FFC9D2E0"/>
      </top>
      <bottom style="thin">
        <color rgb="FFDCE2EC"/>
      </bottom>
      <diagonal/>
    </border>
    <border>
      <left/>
      <right style="thin">
        <color rgb="FFC9D2E0"/>
      </right>
      <top style="thin">
        <color rgb="FFC9D2E0"/>
      </top>
      <bottom style="thin">
        <color rgb="FFDCE2EC"/>
      </bottom>
      <diagonal/>
    </border>
    <border>
      <left style="thin">
        <color rgb="FFC9D2E0"/>
      </left>
      <right/>
      <top style="thin">
        <color rgb="FFDCE2EC"/>
      </top>
      <bottom style="thin">
        <color rgb="FFDCE2EC"/>
      </bottom>
      <diagonal/>
    </border>
    <border>
      <left/>
      <right style="thin">
        <color rgb="FFC9D2E0"/>
      </right>
      <top style="thin">
        <color rgb="FFDCE2EC"/>
      </top>
      <bottom style="thin">
        <color rgb="FFDCE2EC"/>
      </bottom>
      <diagonal/>
    </border>
    <border>
      <left style="thin">
        <color rgb="FFC9D2E0"/>
      </left>
      <right/>
      <top style="thin">
        <color rgb="FFDCE2EC"/>
      </top>
      <bottom style="thin">
        <color rgb="FFC9D2E0"/>
      </bottom>
      <diagonal/>
    </border>
    <border>
      <left/>
      <right style="thin">
        <color rgb="FFC9D2E0"/>
      </right>
      <top style="thin">
        <color rgb="FFDCE2EC"/>
      </top>
      <bottom style="thin">
        <color rgb="FFC9D2E0"/>
      </bottom>
      <diagonal/>
    </border>
    <border>
      <left/>
      <right/>
      <top style="thin">
        <color rgb="FFC9D2E0"/>
      </top>
      <bottom style="thin">
        <color rgb="FFDCE2EC"/>
      </bottom>
      <diagonal/>
    </border>
    <border>
      <left/>
      <right/>
      <top style="thin">
        <color rgb="FFDCE2EC"/>
      </top>
      <bottom style="thin">
        <color rgb="FFDCE2EC"/>
      </bottom>
      <diagonal/>
    </border>
    <border>
      <left style="thin">
        <color rgb="FFC9D2E0"/>
      </left>
      <right/>
      <top style="thin">
        <color rgb="FFDCE2EC"/>
      </top>
      <bottom/>
      <diagonal/>
    </border>
    <border>
      <left/>
      <right/>
      <top style="thin">
        <color rgb="FFDCE2EC"/>
      </top>
      <bottom/>
      <diagonal/>
    </border>
    <border>
      <left/>
      <right style="thin">
        <color rgb="FFC9D2E0"/>
      </right>
      <top style="thin">
        <color rgb="FFDCE2EC"/>
      </top>
      <bottom/>
      <diagonal/>
    </border>
    <border>
      <left style="thin">
        <color rgb="FFC9D2E0"/>
      </left>
      <right/>
      <top style="medium">
        <color rgb="FF1F3864"/>
      </top>
      <bottom style="thin">
        <color rgb="FFC9D2E0"/>
      </bottom>
      <diagonal/>
    </border>
    <border>
      <left/>
      <right/>
      <top style="medium">
        <color rgb="FF1F3864"/>
      </top>
      <bottom style="thin">
        <color rgb="FFC9D2E0"/>
      </bottom>
      <diagonal/>
    </border>
    <border>
      <left/>
      <right style="thin">
        <color rgb="FFC9D2E0"/>
      </right>
      <top style="medium">
        <color rgb="FF1F3864"/>
      </top>
      <bottom style="thin">
        <color rgb="FFC9D2E0"/>
      </bottom>
      <diagonal/>
    </border>
    <border>
      <left style="thin">
        <color rgb="FFC9D2E0"/>
      </left>
      <right/>
      <top/>
      <bottom style="thin">
        <color rgb="FFDCE2EC"/>
      </bottom>
      <diagonal/>
    </border>
    <border>
      <left/>
      <right style="thin">
        <color rgb="FFC9D2E0"/>
      </right>
      <top/>
      <bottom style="thin">
        <color rgb="FFDCE2EC"/>
      </bottom>
      <diagonal/>
    </border>
  </borders>
  <cellStyleXfs count="1">
    <xf numFmtId="0" fontId="0" fillId="0" borderId="0"/>
  </cellStyleXfs>
  <cellXfs count="58">
    <xf numFmtId="0" fontId="0" fillId="0" borderId="0" xfId="0"/>
    <xf numFmtId="0" fontId="1" fillId="2" borderId="0" xfId="0" applyFont="1" applyFill="1"/>
    <xf numFmtId="0" fontId="1" fillId="3" borderId="0" xfId="0" applyFont="1" applyFill="1"/>
    <xf numFmtId="0" fontId="0" fillId="3" borderId="0" xfId="0" applyFill="1"/>
    <xf numFmtId="0" fontId="0" fillId="5" borderId="0" xfId="0" applyFill="1"/>
    <xf numFmtId="0" fontId="2" fillId="5" borderId="0" xfId="0" applyFont="1" applyFill="1"/>
    <xf numFmtId="0" fontId="8" fillId="5" borderId="0" xfId="0" applyFont="1" applyFill="1"/>
    <xf numFmtId="0" fontId="0" fillId="6" borderId="1" xfId="0" applyFill="1" applyBorder="1"/>
    <xf numFmtId="0" fontId="0" fillId="6" borderId="2" xfId="0" applyFill="1" applyBorder="1"/>
    <xf numFmtId="0" fontId="0" fillId="6" borderId="3" xfId="0" applyFill="1" applyBorder="1"/>
    <xf numFmtId="0" fontId="0" fillId="6" borderId="5" xfId="0" applyFill="1" applyBorder="1"/>
    <xf numFmtId="0" fontId="0" fillId="6" borderId="7" xfId="0" applyFill="1" applyBorder="1"/>
    <xf numFmtId="0" fontId="0" fillId="6" borderId="8" xfId="0" applyFill="1" applyBorder="1"/>
    <xf numFmtId="0" fontId="0" fillId="6" borderId="9" xfId="0" applyFill="1" applyBorder="1"/>
    <xf numFmtId="0" fontId="4" fillId="6" borderId="4" xfId="0" applyFont="1" applyFill="1" applyBorder="1"/>
    <xf numFmtId="0" fontId="4" fillId="6" borderId="0" xfId="0" applyFont="1" applyFill="1"/>
    <xf numFmtId="0" fontId="4" fillId="6" borderId="8" xfId="0" applyFont="1" applyFill="1" applyBorder="1"/>
    <xf numFmtId="0" fontId="0" fillId="6" borderId="6" xfId="0" applyFill="1" applyBorder="1"/>
    <xf numFmtId="164" fontId="0" fillId="6" borderId="6" xfId="0" applyNumberFormat="1" applyFill="1" applyBorder="1"/>
    <xf numFmtId="165" fontId="0" fillId="6" borderId="6" xfId="0" applyNumberFormat="1" applyFill="1" applyBorder="1"/>
    <xf numFmtId="166" fontId="0" fillId="6" borderId="6" xfId="0" applyNumberFormat="1" applyFill="1" applyBorder="1"/>
    <xf numFmtId="0" fontId="5" fillId="4" borderId="6" xfId="0" applyFont="1" applyFill="1" applyBorder="1"/>
    <xf numFmtId="0" fontId="6" fillId="4" borderId="0" xfId="0" applyFont="1" applyFill="1" applyAlignment="1">
      <alignment horizontal="left" vertical="center" indent="1"/>
    </xf>
    <xf numFmtId="0" fontId="0" fillId="4" borderId="0" xfId="0" applyFill="1"/>
    <xf numFmtId="0" fontId="7" fillId="4" borderId="0" xfId="0" applyFont="1" applyFill="1" applyAlignment="1">
      <alignment horizontal="right" vertical="center" indent="1"/>
    </xf>
    <xf numFmtId="0" fontId="5" fillId="4" borderId="0" xfId="0" applyFont="1" applyFill="1" applyAlignment="1">
      <alignment horizontal="right"/>
    </xf>
    <xf numFmtId="0" fontId="13" fillId="4" borderId="0" xfId="0" applyFont="1" applyFill="1"/>
    <xf numFmtId="0" fontId="9" fillId="4" borderId="0" xfId="0" applyFont="1" applyFill="1" applyAlignment="1">
      <alignment horizontal="left"/>
    </xf>
    <xf numFmtId="0" fontId="10" fillId="4" borderId="0" xfId="0" applyFont="1" applyFill="1" applyAlignment="1">
      <alignment horizontal="left"/>
    </xf>
    <xf numFmtId="0" fontId="12" fillId="5" borderId="0" xfId="0" applyFont="1" applyFill="1" applyAlignment="1">
      <alignment horizontal="left"/>
    </xf>
    <xf numFmtId="0" fontId="0" fillId="5" borderId="0" xfId="0" applyFont="1" applyFill="1" applyAlignment="1">
      <alignment horizontal="left"/>
    </xf>
    <xf numFmtId="0" fontId="12" fillId="5" borderId="0" xfId="0" applyFont="1" applyFill="1" applyAlignment="1">
      <alignment horizontal="left" vertical="top" wrapText="1"/>
    </xf>
    <xf numFmtId="0" fontId="0" fillId="5" borderId="0" xfId="0" applyFont="1" applyFill="1" applyAlignment="1">
      <alignment horizontal="left" vertical="top" wrapText="1"/>
    </xf>
    <xf numFmtId="0" fontId="11" fillId="5" borderId="10" xfId="0" applyFont="1" applyFill="1" applyBorder="1"/>
    <xf numFmtId="0" fontId="11" fillId="5" borderId="10" xfId="0" applyFont="1" applyFill="1" applyBorder="1" applyAlignment="1">
      <alignment horizontal="left"/>
    </xf>
    <xf numFmtId="0" fontId="11" fillId="5" borderId="0" xfId="0" applyFont="1" applyFill="1" applyBorder="1"/>
    <xf numFmtId="0" fontId="0" fillId="5" borderId="11" xfId="0" applyFill="1" applyBorder="1"/>
    <xf numFmtId="0" fontId="0" fillId="5" borderId="13" xfId="0" applyFill="1" applyBorder="1"/>
    <xf numFmtId="1" fontId="0" fillId="5" borderId="14" xfId="0" applyNumberFormat="1" applyFill="1" applyBorder="1" applyAlignment="1">
      <alignment horizontal="right"/>
    </xf>
    <xf numFmtId="168" fontId="0" fillId="5" borderId="14" xfId="0" applyNumberFormat="1" applyFill="1" applyBorder="1" applyAlignment="1">
      <alignment horizontal="right"/>
    </xf>
    <xf numFmtId="0" fontId="0" fillId="5" borderId="15" xfId="0" applyFill="1" applyBorder="1"/>
    <xf numFmtId="49" fontId="0" fillId="5" borderId="16" xfId="0" applyNumberFormat="1" applyFill="1" applyBorder="1" applyAlignment="1">
      <alignment horizontal="right"/>
    </xf>
    <xf numFmtId="170" fontId="0" fillId="5" borderId="12" xfId="0" applyNumberFormat="1" applyFill="1" applyBorder="1" applyAlignment="1">
      <alignment horizontal="right"/>
    </xf>
    <xf numFmtId="170" fontId="0" fillId="5" borderId="14" xfId="0" applyNumberFormat="1" applyFill="1" applyBorder="1" applyAlignment="1">
      <alignment horizontal="right"/>
    </xf>
    <xf numFmtId="0" fontId="0" fillId="5" borderId="19" xfId="0" applyFill="1" applyBorder="1"/>
    <xf numFmtId="170" fontId="0" fillId="5" borderId="21" xfId="0" applyNumberFormat="1" applyFill="1" applyBorder="1" applyAlignment="1">
      <alignment horizontal="right"/>
    </xf>
    <xf numFmtId="0" fontId="2" fillId="5" borderId="22" xfId="0" applyFont="1" applyFill="1" applyBorder="1"/>
    <xf numFmtId="170" fontId="2" fillId="5" borderId="24" xfId="0" applyNumberFormat="1" applyFont="1" applyFill="1" applyBorder="1" applyAlignment="1">
      <alignment horizontal="right"/>
    </xf>
    <xf numFmtId="0" fontId="9" fillId="4" borderId="0" xfId="0" applyFont="1" applyFill="1" applyAlignment="1">
      <alignment horizontal="left" vertical="center"/>
    </xf>
    <xf numFmtId="0" fontId="10" fillId="4" borderId="0" xfId="0" applyFont="1" applyFill="1" applyAlignment="1">
      <alignment horizontal="left" vertical="center"/>
    </xf>
    <xf numFmtId="3" fontId="0" fillId="5" borderId="14" xfId="0" applyNumberFormat="1" applyFill="1" applyBorder="1" applyAlignment="1">
      <alignment horizontal="right"/>
    </xf>
    <xf numFmtId="171" fontId="0" fillId="5" borderId="14" xfId="0" applyNumberFormat="1" applyFill="1" applyBorder="1" applyAlignment="1">
      <alignment horizontal="right"/>
    </xf>
    <xf numFmtId="3" fontId="0" fillId="5" borderId="17" xfId="0" applyNumberFormat="1" applyFill="1" applyBorder="1" applyAlignment="1">
      <alignment horizontal="right"/>
    </xf>
    <xf numFmtId="3" fontId="0" fillId="5" borderId="18" xfId="0" applyNumberFormat="1" applyFill="1" applyBorder="1" applyAlignment="1">
      <alignment horizontal="right"/>
    </xf>
    <xf numFmtId="3" fontId="0" fillId="5" borderId="20" xfId="0" applyNumberFormat="1" applyFill="1" applyBorder="1" applyAlignment="1">
      <alignment horizontal="right"/>
    </xf>
    <xf numFmtId="3" fontId="2" fillId="5" borderId="23" xfId="0" applyNumberFormat="1" applyFont="1" applyFill="1" applyBorder="1" applyAlignment="1">
      <alignment horizontal="right"/>
    </xf>
    <xf numFmtId="0" fontId="0" fillId="5" borderId="25" xfId="0" applyFill="1" applyBorder="1"/>
    <xf numFmtId="1" fontId="0" fillId="5" borderId="26" xfId="0" applyNumberFormat="1" applyFill="1" applyBorder="1" applyAlignment="1">
      <alignment horizontal="right"/>
    </xf>
  </cellXfs>
  <cellStyles count="1">
    <cellStyle name="Normal" xfId="0" builtinId="0"/>
  </cellStyles>
  <dxfs count="82">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fill>
        <patternFill patternType="solid">
          <fgColor indexed="64"/>
          <bgColor rgb="FF1F3864"/>
        </patternFill>
      </fill>
    </dxf>
    <dxf>
      <fill>
        <patternFill patternType="solid">
          <fgColor indexed="64"/>
          <bgColor rgb="FF1F3864"/>
        </patternFill>
      </fill>
    </dxf>
    <dxf>
      <fill>
        <patternFill patternType="solid">
          <fgColor indexed="64"/>
          <bgColor rgb="FF1F3864"/>
        </patternFill>
      </fill>
    </dxf>
    <dxf>
      <font>
        <color rgb="FFFFFFFF"/>
      </font>
    </dxf>
    <dxf>
      <font>
        <color rgb="FFFFFFFF"/>
      </font>
    </dxf>
    <dxf>
      <font>
        <color rgb="FFFFFFFF"/>
      </font>
    </dxf>
    <dxf>
      <font>
        <b/>
      </font>
    </dxf>
    <dxf>
      <font>
        <b/>
      </font>
    </dxf>
    <dxf>
      <font>
        <b/>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border diagonalUp="0" diagonalDown="0" outline="0">
        <left style="thin">
          <color rgb="FFD9DEE6"/>
        </left>
        <right style="thin">
          <color rgb="FFD9DEE6"/>
        </right>
        <top style="thin">
          <color rgb="FFD9DEE6"/>
        </top>
        <bottom style="thin">
          <color rgb="FFD9DEE6"/>
        </bottom>
      </border>
    </dxf>
    <dxf>
      <fill>
        <patternFill patternType="solid">
          <fgColor indexed="64"/>
          <bgColor rgb="FF1F3864"/>
        </patternFill>
      </fill>
    </dxf>
    <dxf>
      <fill>
        <patternFill patternType="solid">
          <fgColor indexed="64"/>
          <bgColor rgb="FF1F3864"/>
        </patternFill>
      </fill>
    </dxf>
    <dxf>
      <fill>
        <patternFill patternType="solid">
          <fgColor indexed="64"/>
          <bgColor rgb="FF1F3864"/>
        </patternFill>
      </fill>
    </dxf>
    <dxf>
      <font>
        <color rgb="FFFFFFFF"/>
      </font>
    </dxf>
    <dxf>
      <font>
        <color rgb="FFFFFFFF"/>
      </font>
    </dxf>
    <dxf>
      <font>
        <color rgb="FFFFFFFF"/>
      </font>
    </dxf>
    <dxf>
      <font>
        <b/>
      </font>
    </dxf>
    <dxf>
      <font>
        <b/>
      </font>
    </dxf>
    <dxf>
      <font>
        <b/>
      </font>
    </dxf>
    <dxf>
      <font>
        <b/>
        <i val="0"/>
        <strike val="0"/>
        <condense val="0"/>
        <extend val="0"/>
        <outline val="0"/>
        <shadow val="0"/>
        <u val="none"/>
        <vertAlign val="baseline"/>
        <sz val="11"/>
        <color auto="1"/>
        <name val="Arial"/>
        <scheme val="none"/>
      </font>
      <fill>
        <patternFill patternType="solid">
          <fgColor indexed="64"/>
          <bgColor rgb="FFD9E1F2"/>
        </patternFill>
      </fill>
    </dxf>
    <dxf>
      <font>
        <b/>
        <i val="0"/>
        <strike val="0"/>
        <condense val="0"/>
        <extend val="0"/>
        <outline val="0"/>
        <shadow val="0"/>
        <u val="none"/>
        <vertAlign val="baseline"/>
        <sz val="11"/>
        <color auto="1"/>
        <name val="Arial"/>
        <scheme val="none"/>
      </font>
      <fill>
        <patternFill patternType="solid">
          <fgColor indexed="64"/>
          <bgColor rgb="FFD9E1F2"/>
        </patternFill>
      </fil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ivotTable" Target="pivotTables/pivotTabl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openxmlformats.org/officeDocument/2006/relationships/pivotTable" Target="pivotTables/pivotTabl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pivotTable" Target="pivotTables/pivotTabl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rgbClr val="1F4E79"/>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2E86AB"/>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C9A227"/>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Low-Cost Carrier</c:v>
          </c:tx>
          <c:spPr>
            <a:ln w="31750" cap="rnd">
              <a:solidFill>
                <a:srgbClr val="1F4E79"/>
              </a:solidFill>
              <a:prstDash val="solid"/>
              <a:round/>
            </a:ln>
            <a:effectLst/>
          </c:spPr>
          <c:marker>
            <c:symbol val="none"/>
          </c:marker>
          <c:cat>
            <c:strLit>
              <c:ptCount val="5"/>
              <c:pt idx="0">
                <c:v>2020</c:v>
              </c:pt>
              <c:pt idx="1">
                <c:v>2021</c:v>
              </c:pt>
              <c:pt idx="2">
                <c:v>2022</c:v>
              </c:pt>
              <c:pt idx="3">
                <c:v>2023</c:v>
              </c:pt>
              <c:pt idx="4">
                <c:v>2024</c:v>
              </c:pt>
            </c:strLit>
          </c:cat>
          <c:val>
            <c:numLit>
              <c:formatCode>\$#,##0.00;\(\$#,##0.00\);\$#,##0.00</c:formatCode>
              <c:ptCount val="5"/>
              <c:pt idx="0">
                <c:v>12005</c:v>
              </c:pt>
              <c:pt idx="1">
                <c:v>21827</c:v>
              </c:pt>
              <c:pt idx="2">
                <c:v>32972</c:v>
              </c:pt>
              <c:pt idx="3">
                <c:v>35706</c:v>
              </c:pt>
              <c:pt idx="4">
                <c:v>36760</c:v>
              </c:pt>
            </c:numLit>
          </c:val>
          <c:smooth val="0"/>
          <c:extLst>
            <c:ext xmlns:c16="http://schemas.microsoft.com/office/drawing/2014/chart" uri="{C3380CC4-5D6E-409C-BE32-E72D297353CC}">
              <c16:uniqueId val="{0000000E-9964-48B1-B3C9-5975EB1E0075}"/>
            </c:ext>
          </c:extLst>
        </c:ser>
        <c:ser>
          <c:idx val="1"/>
          <c:order val="1"/>
          <c:tx>
            <c:v>Network/Legacy</c:v>
          </c:tx>
          <c:spPr>
            <a:ln w="31750" cap="rnd">
              <a:solidFill>
                <a:srgbClr val="2E86AB"/>
              </a:solidFill>
              <a:prstDash val="solid"/>
              <a:round/>
            </a:ln>
            <a:effectLst/>
          </c:spPr>
          <c:marker>
            <c:symbol val="none"/>
          </c:marker>
          <c:cat>
            <c:strLit>
              <c:ptCount val="5"/>
              <c:pt idx="0">
                <c:v>2020</c:v>
              </c:pt>
              <c:pt idx="1">
                <c:v>2021</c:v>
              </c:pt>
              <c:pt idx="2">
                <c:v>2022</c:v>
              </c:pt>
              <c:pt idx="3">
                <c:v>2023</c:v>
              </c:pt>
              <c:pt idx="4">
                <c:v>2024</c:v>
              </c:pt>
            </c:strLit>
          </c:cat>
          <c:val>
            <c:numLit>
              <c:formatCode>\$#,##0.00;\(\$#,##0.00\);\$#,##0.00</c:formatCode>
              <c:ptCount val="5"/>
              <c:pt idx="0">
                <c:v>53353</c:v>
              </c:pt>
              <c:pt idx="1">
                <c:v>90591</c:v>
              </c:pt>
              <c:pt idx="2">
                <c:v>154154</c:v>
              </c:pt>
              <c:pt idx="3">
                <c:v>174978</c:v>
              </c:pt>
              <c:pt idx="4">
                <c:v>184652</c:v>
              </c:pt>
            </c:numLit>
          </c:val>
          <c:smooth val="0"/>
          <c:extLst>
            <c:ext xmlns:c16="http://schemas.microsoft.com/office/drawing/2014/chart" uri="{C3380CC4-5D6E-409C-BE32-E72D297353CC}">
              <c16:uniqueId val="{00000003-9211-4D8C-8184-89632915ABE8}"/>
            </c:ext>
          </c:extLst>
        </c:ser>
        <c:ser>
          <c:idx val="2"/>
          <c:order val="2"/>
          <c:tx>
            <c:v>Ultra-Low-Cost</c:v>
          </c:tx>
          <c:spPr>
            <a:ln w="31750" cap="rnd">
              <a:solidFill>
                <a:srgbClr val="C9A227"/>
              </a:solidFill>
              <a:prstDash val="solid"/>
              <a:round/>
            </a:ln>
            <a:effectLst/>
          </c:spPr>
          <c:marker>
            <c:symbol val="none"/>
          </c:marker>
          <c:cat>
            <c:strLit>
              <c:ptCount val="5"/>
              <c:pt idx="0">
                <c:v>2020</c:v>
              </c:pt>
              <c:pt idx="1">
                <c:v>2021</c:v>
              </c:pt>
              <c:pt idx="2">
                <c:v>2022</c:v>
              </c:pt>
              <c:pt idx="3">
                <c:v>2023</c:v>
              </c:pt>
              <c:pt idx="4">
                <c:v>2024</c:v>
              </c:pt>
            </c:strLit>
          </c:cat>
          <c:val>
            <c:numLit>
              <c:formatCode>\$#,##0.00;\(\$#,##0.00\);\$#,##0.00</c:formatCode>
              <c:ptCount val="5"/>
              <c:pt idx="0">
                <c:v>4050</c:v>
              </c:pt>
              <c:pt idx="1">
                <c:v>7009</c:v>
              </c:pt>
              <c:pt idx="2">
                <c:v>10695</c:v>
              </c:pt>
              <c:pt idx="3">
                <c:v>11461</c:v>
              </c:pt>
              <c:pt idx="4">
                <c:v>11201</c:v>
              </c:pt>
            </c:numLit>
          </c:val>
          <c:smooth val="0"/>
          <c:extLst>
            <c:ext xmlns:c16="http://schemas.microsoft.com/office/drawing/2014/chart" uri="{C3380CC4-5D6E-409C-BE32-E72D297353CC}">
              <c16:uniqueId val="{00000004-9211-4D8C-8184-89632915ABE8}"/>
            </c:ext>
          </c:extLst>
        </c:ser>
        <c:dLbls>
          <c:showLegendKey val="0"/>
          <c:showVal val="0"/>
          <c:showCatName val="0"/>
          <c:showSerName val="0"/>
          <c:showPercent val="0"/>
          <c:showBubbleSize val="0"/>
        </c:dLbls>
        <c:smooth val="0"/>
        <c:axId val="2136951023"/>
        <c:axId val="2136953903"/>
      </c:lineChart>
      <c:catAx>
        <c:axId val="21369510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136953903"/>
        <c:crosses val="autoZero"/>
        <c:auto val="1"/>
        <c:lblAlgn val="ctr"/>
        <c:lblOffset val="100"/>
        <c:noMultiLvlLbl val="0"/>
        <c:extLst>
          <c:ext xmlns:c15="http://schemas.microsoft.com/office/drawing/2012/chart" uri="{F40574EE-89B7-4290-83BB-5DA773EAF853}">
            <c15:numFmt c:formatCode="General" c:sourceLinked="1"/>
          </c:ext>
        </c:extLst>
      </c:catAx>
      <c:valAx>
        <c:axId val="213695390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136951023"/>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da-DK"/>
    </a:p>
  </c:txPr>
  <c:extLst>
    <c:ext xmlns:c15="http://schemas.microsoft.com/office/drawing/2012/chart" uri="{723BEF56-08C2-4564-9609-F4CBC75E7E54}">
      <c15:pivotSource>
        <c15:name>[Airline Industry Performance Dashboard.xlsx]PivotChartTable1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8692038495192"/>
          <c:y val="0.17702421927797951"/>
          <c:w val="0.7363722659667542"/>
          <c:h val="0.50264545056867893"/>
        </c:manualLayout>
      </c:layout>
      <c:barChart>
        <c:barDir val="col"/>
        <c:grouping val="clustered"/>
        <c:varyColors val="0"/>
        <c:ser>
          <c:idx val="0"/>
          <c:order val="0"/>
          <c:tx>
            <c:v>Total</c:v>
          </c:tx>
          <c:spPr>
            <a:solidFill>
              <a:srgbClr val="1F4E79"/>
            </a:solidFill>
            <a:ln>
              <a:noFill/>
            </a:ln>
            <a:effectLst/>
          </c:spPr>
          <c:invertIfNegative val="0"/>
          <c:cat>
            <c:strLit>
              <c:ptCount val="9"/>
              <c:pt idx="0">
                <c:v>Alaska Air Group</c:v>
              </c:pt>
              <c:pt idx="1">
                <c:v>Allegiant Travel</c:v>
              </c:pt>
              <c:pt idx="2">
                <c:v>American Airlines</c:v>
              </c:pt>
              <c:pt idx="3">
                <c:v>Delta Air Lines</c:v>
              </c:pt>
              <c:pt idx="4">
                <c:v>Frontier Group</c:v>
              </c:pt>
              <c:pt idx="5">
                <c:v>JetBlue Airways</c:v>
              </c:pt>
              <c:pt idx="6">
                <c:v>Southwest Airlines</c:v>
              </c:pt>
              <c:pt idx="7">
                <c:v>Spirit Airlines</c:v>
              </c:pt>
              <c:pt idx="8">
                <c:v>United Airlines</c:v>
              </c:pt>
            </c:strLit>
          </c:cat>
          <c:val>
            <c:numLit>
              <c:formatCode>0.0\ %;\-0.0\ %;0.0\ %</c:formatCode>
              <c:ptCount val="9"/>
              <c:pt idx="0">
                <c:v>-3.5380764417059785E-3</c:v>
              </c:pt>
              <c:pt idx="1">
                <c:v>-1.5449018239808631E-2</c:v>
              </c:pt>
              <c:pt idx="2">
                <c:v>-4.4702223053413322E-2</c:v>
              </c:pt>
              <c:pt idx="3">
                <c:v>-1.2523761086589312E-2</c:v>
              </c:pt>
              <c:pt idx="4">
                <c:v>-1.8074010572938993E-2</c:v>
              </c:pt>
              <c:pt idx="5">
                <c:v>-8.1065759637188206E-2</c:v>
              </c:pt>
              <c:pt idx="6">
                <c:v>-6.1432512276720207E-3</c:v>
              </c:pt>
              <c:pt idx="7">
                <c:v>-0.15158204562178071</c:v>
              </c:pt>
              <c:pt idx="8">
                <c:v>-1.2921256463182849E-2</c:v>
              </c:pt>
            </c:numLit>
          </c:val>
          <c:extLst>
            <c:ext xmlns:c16="http://schemas.microsoft.com/office/drawing/2014/chart" uri="{C3380CC4-5D6E-409C-BE32-E72D297353CC}">
              <c16:uniqueId val="{00000004-0659-4E71-A33D-0264229B0F5E}"/>
            </c:ext>
          </c:extLst>
        </c:ser>
        <c:dLbls>
          <c:showLegendKey val="0"/>
          <c:showVal val="0"/>
          <c:showCatName val="0"/>
          <c:showSerName val="0"/>
          <c:showPercent val="0"/>
          <c:showBubbleSize val="0"/>
        </c:dLbls>
        <c:gapWidth val="219"/>
        <c:axId val="588107168"/>
        <c:axId val="588107648"/>
      </c:barChart>
      <c:catAx>
        <c:axId val="588107168"/>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88107648"/>
        <c:crosses val="autoZero"/>
        <c:auto val="1"/>
        <c:lblAlgn val="ctr"/>
        <c:lblOffset val="100"/>
        <c:noMultiLvlLbl val="0"/>
        <c:extLst>
          <c:ext xmlns:c15="http://schemas.microsoft.com/office/drawing/2012/chart" uri="{F40574EE-89B7-4290-83BB-5DA773EAF853}">
            <c15:numFmt c:formatCode="General" c:sourceLinked="1"/>
          </c:ext>
        </c:extLst>
      </c:catAx>
      <c:valAx>
        <c:axId val="588107648"/>
        <c:scaling>
          <c:orientation val="minMax"/>
        </c:scaling>
        <c:delete val="0"/>
        <c:axPos val="l"/>
        <c:majorGridlines>
          <c:spPr>
            <a:ln w="9525" cap="flat" cmpd="sng" algn="ctr">
              <a:solidFill>
                <a:schemeClr val="tx1">
                  <a:lumMod val="15000"/>
                  <a:lumOff val="85000"/>
                </a:schemeClr>
              </a:solidFill>
              <a:round/>
            </a:ln>
            <a:effectLst/>
          </c:spPr>
        </c:majorGridlines>
        <c:numFmt formatCode="0.0\ %;\-0.0\ %;0.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88107168"/>
        <c:crosses val="autoZero"/>
        <c:crossBetween val="midCat"/>
        <c:extLst>
          <c:ext xmlns:c15="http://schemas.microsoft.com/office/drawing/2012/chart" uri="{F40574EE-89B7-4290-83BB-5DA773EAF853}">
            <c15:numFmt c:formatCode="0.0\ %;\-0.0\ %;0.0\ %"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da-DK"/>
    </a:p>
  </c:txPr>
  <c:extLst>
    <c:ext xmlns:c15="http://schemas.microsoft.com/office/drawing/2012/chart" uri="{723BEF56-08C2-4564-9609-F4CBC75E7E54}">
      <c15:pivotSource>
        <c15:name>[Airline Industry Performance Dashboard.xlsx]PivotChartTable2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F4E79"/>
            </a:solidFill>
            <a:ln>
              <a:noFill/>
            </a:ln>
            <a:effectLst/>
          </c:spPr>
          <c:invertIfNegative val="0"/>
          <c:cat>
            <c:strLit>
              <c:ptCount val="4"/>
              <c:pt idx="0">
                <c:v>2021</c:v>
              </c:pt>
              <c:pt idx="1">
                <c:v>2022</c:v>
              </c:pt>
              <c:pt idx="2">
                <c:v>2023</c:v>
              </c:pt>
              <c:pt idx="3">
                <c:v>2024</c:v>
              </c:pt>
            </c:strLit>
          </c:cat>
          <c:val>
            <c:numLit>
              <c:formatCode>0.0\ %;\-0.0\ %;0.0\ %</c:formatCode>
              <c:ptCount val="4"/>
              <c:pt idx="0">
                <c:v>0.72065179806362378</c:v>
              </c:pt>
              <c:pt idx="1">
                <c:v>0.65641772798445908</c:v>
              </c:pt>
              <c:pt idx="2">
                <c:v>0.12295964533593501</c:v>
              </c:pt>
              <c:pt idx="3">
                <c:v>4.7122375025321302E-2</c:v>
              </c:pt>
            </c:numLit>
          </c:val>
          <c:extLst>
            <c:ext xmlns:c16="http://schemas.microsoft.com/office/drawing/2014/chart" uri="{C3380CC4-5D6E-409C-BE32-E72D297353CC}">
              <c16:uniqueId val="{00000003-F632-4232-921D-C06DDA44C37B}"/>
            </c:ext>
          </c:extLst>
        </c:ser>
        <c:dLbls>
          <c:showLegendKey val="0"/>
          <c:showVal val="0"/>
          <c:showCatName val="0"/>
          <c:showSerName val="0"/>
          <c:showPercent val="0"/>
          <c:showBubbleSize val="0"/>
        </c:dLbls>
        <c:gapWidth val="219"/>
        <c:overlap val="-27"/>
        <c:axId val="664573664"/>
        <c:axId val="664574144"/>
      </c:barChart>
      <c:catAx>
        <c:axId val="664573664"/>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64574144"/>
        <c:crosses val="autoZero"/>
        <c:auto val="1"/>
        <c:lblAlgn val="ctr"/>
        <c:lblOffset val="100"/>
        <c:noMultiLvlLbl val="0"/>
        <c:extLst>
          <c:ext xmlns:c15="http://schemas.microsoft.com/office/drawing/2012/chart" uri="{F40574EE-89B7-4290-83BB-5DA773EAF853}">
            <c15:numFmt c:formatCode="General" c:sourceLinked="1"/>
          </c:ext>
        </c:extLst>
      </c:catAx>
      <c:valAx>
        <c:axId val="664574144"/>
        <c:scaling>
          <c:orientation val="minMax"/>
        </c:scaling>
        <c:delete val="0"/>
        <c:axPos val="l"/>
        <c:majorGridlines>
          <c:spPr>
            <a:ln w="9525" cap="flat" cmpd="sng" algn="ctr">
              <a:solidFill>
                <a:schemeClr val="tx1">
                  <a:lumMod val="15000"/>
                  <a:lumOff val="85000"/>
                </a:schemeClr>
              </a:solidFill>
              <a:round/>
            </a:ln>
            <a:effectLst/>
          </c:spPr>
        </c:majorGridlines>
        <c:numFmt formatCode="0.0\ %;\-0.0\ %;0.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64573664"/>
        <c:crosses val="autoZero"/>
        <c:crossBetween val="between"/>
        <c:extLst>
          <c:ext xmlns:c15="http://schemas.microsoft.com/office/drawing/2012/chart" uri="{F40574EE-89B7-4290-83BB-5DA773EAF853}">
            <c15:numFmt c:formatCode="0.0\ %;\-0.0\ %;0.0\ %"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da-DK"/>
    </a:p>
  </c:txPr>
  <c:extLst>
    <c:ext xmlns:c15="http://schemas.microsoft.com/office/drawing/2012/chart" uri="{723BEF56-08C2-4564-9609-F4CBC75E7E54}">
      <c15:pivotSource>
        <c15:name>[Airline Industry Performance Dashboard.xlsx]PivotChartTable3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3313</xdr:rowOff>
    </xdr:from>
    <xdr:to>
      <xdr:col>6</xdr:col>
      <xdr:colOff>458672</xdr:colOff>
      <xdr:row>20</xdr:row>
      <xdr:rowOff>138228</xdr:rowOff>
    </xdr:to>
    <xdr:sp macro="" textlink="">
      <xdr:nvSpPr>
        <xdr:cNvPr id="9" name="CardRevenue">
          <a:extLst>
            <a:ext uri="{FF2B5EF4-FFF2-40B4-BE49-F238E27FC236}">
              <a16:creationId xmlns:a16="http://schemas.microsoft.com/office/drawing/2014/main" id="{6E79936C-6202-4B5B-B304-B75F8F24B1F5}"/>
            </a:ext>
          </a:extLst>
        </xdr:cNvPr>
        <xdr:cNvSpPr/>
      </xdr:nvSpPr>
      <xdr:spPr>
        <a:xfrm>
          <a:off x="0" y="914400"/>
          <a:ext cx="4673600" cy="3263900"/>
        </a:xfrm>
        <a:prstGeom prst="roundRect">
          <a:avLst/>
        </a:prstGeom>
        <a:solidFill>
          <a:srgbClr val="FFFFFF"/>
        </a:solidFill>
        <a:ln w="12700" cap="flat" cmpd="sng" algn="ctr">
          <a:solidFill>
            <a:srgbClr val="D9DEE6"/>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a:p>
      </xdr:txBody>
    </xdr:sp>
    <xdr:clientData/>
  </xdr:twoCellAnchor>
  <xdr:twoCellAnchor>
    <xdr:from>
      <xdr:col>7</xdr:col>
      <xdr:colOff>511681</xdr:colOff>
      <xdr:row>3</xdr:row>
      <xdr:rowOff>3313</xdr:rowOff>
    </xdr:from>
    <xdr:to>
      <xdr:col>15</xdr:col>
      <xdr:colOff>400142</xdr:colOff>
      <xdr:row>21</xdr:row>
      <xdr:rowOff>43070</xdr:rowOff>
    </xdr:to>
    <xdr:sp macro="" textlink="">
      <xdr:nvSpPr>
        <xdr:cNvPr id="10" name="CardMargin">
          <a:extLst>
            <a:ext uri="{FF2B5EF4-FFF2-40B4-BE49-F238E27FC236}">
              <a16:creationId xmlns:a16="http://schemas.microsoft.com/office/drawing/2014/main" id="{91B1FEFD-BB9A-4EE2-A66C-C3367036D051}"/>
            </a:ext>
          </a:extLst>
        </xdr:cNvPr>
        <xdr:cNvSpPr/>
      </xdr:nvSpPr>
      <xdr:spPr>
        <a:xfrm>
          <a:off x="5334000" y="914400"/>
          <a:ext cx="6680200" cy="3352800"/>
        </a:xfrm>
        <a:prstGeom prst="roundRect">
          <a:avLst/>
        </a:prstGeom>
        <a:solidFill>
          <a:srgbClr val="FFFFFF"/>
        </a:solidFill>
        <a:ln w="12700" cap="flat" cmpd="sng" algn="ctr">
          <a:solidFill>
            <a:srgbClr val="D9DEE6"/>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a:p>
      </xdr:txBody>
    </xdr:sp>
    <xdr:clientData/>
  </xdr:twoCellAnchor>
  <xdr:twoCellAnchor>
    <xdr:from>
      <xdr:col>0</xdr:col>
      <xdr:colOff>0</xdr:colOff>
      <xdr:row>23</xdr:row>
      <xdr:rowOff>182954</xdr:rowOff>
    </xdr:from>
    <xdr:to>
      <xdr:col>6</xdr:col>
      <xdr:colOff>458672</xdr:colOff>
      <xdr:row>39</xdr:row>
      <xdr:rowOff>149823</xdr:rowOff>
    </xdr:to>
    <xdr:sp macro="" textlink="">
      <xdr:nvSpPr>
        <xdr:cNvPr id="11" name="CardYoY">
          <a:extLst>
            <a:ext uri="{FF2B5EF4-FFF2-40B4-BE49-F238E27FC236}">
              <a16:creationId xmlns:a16="http://schemas.microsoft.com/office/drawing/2014/main" id="{1AEC31F2-8609-4216-9285-66CD336FE6FE}"/>
            </a:ext>
          </a:extLst>
        </xdr:cNvPr>
        <xdr:cNvSpPr/>
      </xdr:nvSpPr>
      <xdr:spPr>
        <a:xfrm>
          <a:off x="0" y="4775200"/>
          <a:ext cx="4673600" cy="2921000"/>
        </a:xfrm>
        <a:prstGeom prst="roundRect">
          <a:avLst/>
        </a:prstGeom>
        <a:solidFill>
          <a:srgbClr val="FFFFFF"/>
        </a:solidFill>
        <a:ln w="12700" cap="flat" cmpd="sng" algn="ctr">
          <a:solidFill>
            <a:srgbClr val="D9DEE6"/>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a-DK"/>
        </a:p>
      </xdr:txBody>
    </xdr:sp>
    <xdr:clientData/>
  </xdr:twoCellAnchor>
  <xdr:twoCellAnchor>
    <xdr:from>
      <xdr:col>0</xdr:col>
      <xdr:colOff>82826</xdr:colOff>
      <xdr:row>3</xdr:row>
      <xdr:rowOff>113333</xdr:rowOff>
    </xdr:from>
    <xdr:to>
      <xdr:col>6</xdr:col>
      <xdr:colOff>432076</xdr:colOff>
      <xdr:row>20</xdr:row>
      <xdr:rowOff>65708</xdr:rowOff>
    </xdr:to>
    <xdr:graphicFrame macro="">
      <xdr:nvGraphicFramePr>
        <xdr:cNvPr id="2" name="Chart 1">
          <a:extLst>
            <a:ext uri="{FF2B5EF4-FFF2-40B4-BE49-F238E27FC236}">
              <a16:creationId xmlns:a16="http://schemas.microsoft.com/office/drawing/2014/main" id="{6EE1B7C4-22E6-418F-8560-6456E75FA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118672</xdr:colOff>
      <xdr:row>3</xdr:row>
      <xdr:rowOff>128564</xdr:rowOff>
    </xdr:from>
    <xdr:to>
      <xdr:col>15</xdr:col>
      <xdr:colOff>421263</xdr:colOff>
      <xdr:row>20</xdr:row>
      <xdr:rowOff>179364</xdr:rowOff>
    </xdr:to>
    <xdr:graphicFrame macro="">
      <xdr:nvGraphicFramePr>
        <xdr:cNvPr id="3" name="Chart 2">
          <a:extLst>
            <a:ext uri="{FF2B5EF4-FFF2-40B4-BE49-F238E27FC236}">
              <a16:creationId xmlns:a16="http://schemas.microsoft.com/office/drawing/2014/main" id="{91F77523-6168-0624-7DA1-8EE6C52A4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73623</xdr:colOff>
      <xdr:row>24</xdr:row>
      <xdr:rowOff>100955</xdr:rowOff>
    </xdr:from>
    <xdr:to>
      <xdr:col>6</xdr:col>
      <xdr:colOff>422873</xdr:colOff>
      <xdr:row>39</xdr:row>
      <xdr:rowOff>81905</xdr:rowOff>
    </xdr:to>
    <xdr:graphicFrame macro="">
      <xdr:nvGraphicFramePr>
        <xdr:cNvPr id="4" name="Chart 3">
          <a:extLst>
            <a:ext uri="{FF2B5EF4-FFF2-40B4-BE49-F238E27FC236}">
              <a16:creationId xmlns:a16="http://schemas.microsoft.com/office/drawing/2014/main" id="{8203343D-259E-C38C-32BD-F958EFD34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508000</xdr:colOff>
      <xdr:row>1</xdr:row>
      <xdr:rowOff>139700</xdr:rowOff>
    </xdr:from>
    <xdr:to>
      <xdr:col>17</xdr:col>
      <xdr:colOff>812800</xdr:colOff>
      <xdr:row>15</xdr:row>
      <xdr:rowOff>76522</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6FB1478C-CDF1-A5C2-6442-0DD46F7D7497}"/>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2122058" y="673468"/>
              <a:ext cx="1832481" cy="2522837"/>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514442</xdr:colOff>
      <xdr:row>16</xdr:row>
      <xdr:rowOff>150559</xdr:rowOff>
    </xdr:from>
    <xdr:to>
      <xdr:col>17</xdr:col>
      <xdr:colOff>819242</xdr:colOff>
      <xdr:row>25</xdr:row>
      <xdr:rowOff>8835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891A8D6C-B010-3609-4039-8294456ACB9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28500" y="3454400"/>
              <a:ext cx="1832481" cy="1524000"/>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527142</xdr:colOff>
      <xdr:row>26</xdr:row>
      <xdr:rowOff>78777</xdr:rowOff>
    </xdr:from>
    <xdr:to>
      <xdr:col>17</xdr:col>
      <xdr:colOff>831942</xdr:colOff>
      <xdr:row>38</xdr:row>
      <xdr:rowOff>29081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2536A303-C9FF-0BDE-AAC5-4E98B0B701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41200" y="5232400"/>
              <a:ext cx="1832481" cy="2159000"/>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ka Lisoni" refreshedDate="46204.574065856483" backgroundQuery="1" createdVersion="8" refreshedVersion="8" minRefreshableVersion="3" recordCount="0" supportSubquery="1" supportAdvancedDrill="1" xr:uid="{E29DF764-458D-4CC0-B362-334DF0ACA3C2}">
  <cacheSource type="external" connectionId="7"/>
  <cacheFields count="5">
    <cacheField name="[Companies].[Company].[Company]" caption="Company" numFmtId="0" hierarchy="1" level="1">
      <sharedItems count="9">
        <s v="Alaska Air Group"/>
        <s v="Allegiant Travel"/>
        <s v="American Airlines"/>
        <s v="Delta Air Lines"/>
        <s v="Frontier Group"/>
        <s v="JetBlue Airways"/>
        <s v="Southwest Airlines"/>
        <s v="Spirit Airlines"/>
        <s v="United Airlines"/>
      </sharedItems>
    </cacheField>
    <cacheField name="[Year].[Year].[Year]" caption="Year" numFmtId="0" hierarchy="9" level="1">
      <sharedItems containsSemiMixedTypes="0" containsNonDate="0" containsString="0"/>
    </cacheField>
    <cacheField name="[Measures].[Total revenue]" caption="Total revenue" numFmtId="0" hierarchy="12" level="32767"/>
    <cacheField name="[Measures].[Net Margin %]" caption="Net Margin %" numFmtId="0" hierarchy="14" level="32767"/>
    <cacheField name="[Measures].[Revenue 3Y CAGR %]" caption="Revenue 3Y CAGR %" numFmtId="0" hierarchy="18" level="32767"/>
  </cacheFields>
  <cacheHierarchies count="25">
    <cacheHierarchy uniqueName="[Companies].[Ticker]" caption="Ticker" attribute="1" defaultMemberUniqueName="[Companies].[Ticker].[All]" allUniqueName="[Companies].[Ticker].[All]" dimensionUniqueName="[Companies]" displayFolder="" count="0" memberValueDatatype="130" unbalanced="0"/>
    <cacheHierarchy uniqueName="[Companies].[Company]" caption="Company" attribute="1" defaultMemberUniqueName="[Companies].[Company].[All]" allUniqueName="[Companies].[Company].[All]" dimensionUniqueName="[Companies]" displayFolder="" count="2" memberValueDatatype="130" unbalanced="0">
      <fieldsUsage count="2">
        <fieldUsage x="-1"/>
        <fieldUsage x="0"/>
      </fieldsUsage>
    </cacheHierarchy>
    <cacheHierarchy uniqueName="[Companies].[Segment]" caption="Segment" attribute="1" defaultMemberUniqueName="[Companies].[Segment].[All]" allUniqueName="[Companies].[Segment].[All]" dimensionUniqueName="[Companies]" displayFolder="" count="2" memberValueDatatype="130" unbalanced="0"/>
    <cacheHierarchy uniqueName="[Companies].[Country]" caption="Country" attribute="1" defaultMemberUniqueName="[Companies].[Country].[All]" allUniqueName="[Companies].[Country].[All]" dimensionUniqueName="[Companies]" displayFolder="" count="0" memberValueDatatype="130" unbalanced="0"/>
    <cacheHierarchy uniqueName="[Companies].[FY End]" caption="FY End" attribute="1" defaultMemberUniqueName="[Companies].[FY End].[All]" allUniqueName="[Companies].[FY End].[All]" dimensionUniqueName="[Companies]" displayFolder="" count="0" memberValueDatatype="130" unbalanced="0"/>
    <cacheHierarchy uniqueName="[Financials].[Ticker]" caption="Ticker" attribute="1" defaultMemberUniqueName="[Financials].[Ticker].[All]" allUniqueName="[Financials].[Ticker].[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Net Income]" caption="Net Income" attribute="1" defaultMemberUniqueName="[Financials].[Net Income].[All]" allUniqueName="[Financials].[Net Income].[All]" dimensionUniqueName="[Financial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1"/>
      </fieldsUsage>
    </cacheHierarchy>
    <cacheHierarchy uniqueName="[Measures].[Sum of Year]" caption="Sum of Year" measure="1" displayFolder="" measureGroup="Financials" count="0">
      <extLst>
        <ext xmlns:x15="http://schemas.microsoft.com/office/spreadsheetml/2010/11/main" uri="{B97F6D7D-B522-45F9-BDA1-12C45D357490}">
          <x15:cacheHierarchy aggregatedColumn="6"/>
        </ext>
      </extLst>
    </cacheHierarchy>
    <cacheHierarchy uniqueName="[Measures].[Sum of Year 2]" caption="Sum of Year 2" measure="1" displayFolder="" measureGroup="Year"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Financials" count="0" oneField="1">
      <fieldsUsage count="1">
        <fieldUsage x="2"/>
      </fieldsUsage>
    </cacheHierarchy>
    <cacheHierarchy uniqueName="[Measures].[Total Net Income]" caption="Total Net Income" measure="1" displayFolder="" measureGroup="Financials" count="0"/>
    <cacheHierarchy uniqueName="[Measures].[Net Margin %]" caption="Net Margin %" measure="1" displayFolder="" measureGroup="Financials" count="0" oneField="1">
      <fieldsUsage count="1">
        <fieldUsage x="3"/>
      </fieldsUsage>
    </cacheHierarchy>
    <cacheHierarchy uniqueName="[Measures].[Revenue PY]" caption="Revenue PY" measure="1" displayFolder="" measureGroup="Financials" count="0"/>
    <cacheHierarchy uniqueName="[Measures].[YoY Revenue Growth %]" caption="YoY Revenue Growth %" measure="1" displayFolder="" measureGroup="Financials" count="0"/>
    <cacheHierarchy uniqueName="[Measures].[Revenue 3Y Ago]" caption="Revenue 3Y Ago" measure="1" displayFolder="" measureGroup="Financials" count="0"/>
    <cacheHierarchy uniqueName="[Measures].[Revenue 3Y CAGR %]" caption="Revenue 3Y CAGR %" measure="1" displayFolder="" measureGroup="Financials" count="0" oneField="1">
      <fieldsUsage count="1">
        <fieldUsage x="4"/>
      </fieldsUsage>
    </cacheHierarchy>
    <cacheHierarchy uniqueName="[Measures].[Segment Net Margin %]" caption="Segment Net Margin %" measure="1" displayFolder="" measureGroup="Financials" count="0"/>
    <cacheHierarchy uniqueName="[Measures].[Margin vs Segment (pts)]" caption="Margin vs Segment (pts)" measure="1" displayFolder="" measureGroup="Financials" count="0"/>
    <cacheHierarchy uniqueName="[Measures].[__XL_Count Companies]" caption="__XL_Count Companies" measure="1" displayFolder="" measureGroup="Companies" count="0" hidden="1"/>
    <cacheHierarchy uniqueName="[Measures].[__XL_Count Financials]" caption="__XL_Count Financials" measure="1" displayFolder="" measureGroup="Financials" count="0" hidden="1"/>
    <cacheHierarchy uniqueName="[Measures].[__XL_Count Year]" caption="__XL_Count Year" measure="1" displayFolder="" measureGroup="Year" count="0" hidden="1"/>
    <cacheHierarchy uniqueName="[Measures].[__No measures defined]" caption="__No measures defined" measure="1" displayFolder="" count="0" hidden="1"/>
  </cacheHierarchies>
  <kpis count="0"/>
  <dimensions count="4">
    <dimension name="Companies" uniqueName="[Companies]" caption="Companies"/>
    <dimension name="Financials" uniqueName="[Financials]" caption="Financials"/>
    <dimension measure="1" name="Measures" uniqueName="[Measures]" caption="Measures"/>
    <dimension name="Year" uniqueName="[Year]" caption="Year"/>
  </dimensions>
  <measureGroups count="3">
    <measureGroup name="Companies" caption="Companies"/>
    <measureGroup name="Financials" caption="Financials"/>
    <measureGroup name="Year" caption="Year"/>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ka Lisoni" refreshedDate="46204.573876273149" backgroundQuery="1" createdVersion="3" refreshedVersion="8" minRefreshableVersion="3" recordCount="0" supportSubquery="1" supportAdvancedDrill="1" xr:uid="{743D6D15-2EB9-4A49-96DA-ACF5978B47D8}">
  <cacheSource type="external" connectionId="7">
    <extLst>
      <ext xmlns:x14="http://schemas.microsoft.com/office/spreadsheetml/2009/9/main" uri="{F057638F-6D5F-4e77-A914-E7F072B9BCA8}">
        <x14:sourceConnection name="ThisWorkbookDataModel"/>
      </ext>
    </extLst>
  </cacheSource>
  <cacheFields count="0"/>
  <cacheHierarchies count="25">
    <cacheHierarchy uniqueName="[Companies].[Ticker]" caption="Ticker" attribute="1" defaultMemberUniqueName="[Companies].[Ticker].[All]" allUniqueName="[Companies].[Ticker].[All]" dimensionUniqueName="[Companies]" displayFolder="" count="0" memberValueDatatype="130" unbalanced="0"/>
    <cacheHierarchy uniqueName="[Companies].[Company]" caption="Company" attribute="1" defaultMemberUniqueName="[Companies].[Company].[All]" allUniqueName="[Companies].[Company].[All]" dimensionUniqueName="[Companies]" displayFolder="" count="2" memberValueDatatype="130" unbalanced="0"/>
    <cacheHierarchy uniqueName="[Companies].[Segment]" caption="Segment" attribute="1" defaultMemberUniqueName="[Companies].[Segment].[All]" allUniqueName="[Companies].[Segment].[All]" dimensionUniqueName="[Companies]" displayFolder="" count="2" memberValueDatatype="130" unbalanced="0"/>
    <cacheHierarchy uniqueName="[Companies].[Country]" caption="Country" attribute="1" defaultMemberUniqueName="[Companies].[Country].[All]" allUniqueName="[Companies].[Country].[All]" dimensionUniqueName="[Companies]" displayFolder="" count="0" memberValueDatatype="130" unbalanced="0"/>
    <cacheHierarchy uniqueName="[Companies].[FY End]" caption="FY End" attribute="1" defaultMemberUniqueName="[Companies].[FY End].[All]" allUniqueName="[Companies].[FY End].[All]" dimensionUniqueName="[Companies]" displayFolder="" count="0" memberValueDatatype="130" unbalanced="0"/>
    <cacheHierarchy uniqueName="[Financials].[Ticker]" caption="Ticker" attribute="1" defaultMemberUniqueName="[Financials].[Ticker].[All]" allUniqueName="[Financials].[Ticker].[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Net Income]" caption="Net Income" attribute="1" defaultMemberUniqueName="[Financials].[Net Income].[All]" allUniqueName="[Financials].[Net Income].[All]" dimensionUniqueName="[Financials]" displayFolder="" count="0" memberValueDatatype="5" unbalanced="0"/>
    <cacheHierarchy uniqueName="[Year].[Year]" caption="Year" attribute="1" defaultMemberUniqueName="[Year].[Year].[All]" allUniqueName="[Year].[Year].[All]" dimensionUniqueName="[Year]" displayFolder="" count="2" memberValueDatatype="20" unbalanced="0"/>
    <cacheHierarchy uniqueName="[Measures].[Sum of Year]" caption="Sum of Year" measure="1" displayFolder="" measureGroup="Financials" count="0">
      <extLst>
        <ext xmlns:x15="http://schemas.microsoft.com/office/spreadsheetml/2010/11/main" uri="{B97F6D7D-B522-45F9-BDA1-12C45D357490}">
          <x15:cacheHierarchy aggregatedColumn="6"/>
        </ext>
      </extLst>
    </cacheHierarchy>
    <cacheHierarchy uniqueName="[Measures].[Sum of Year 2]" caption="Sum of Year 2" measure="1" displayFolder="" measureGroup="Year"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Financials" count="0"/>
    <cacheHierarchy uniqueName="[Measures].[Total Net Income]" caption="Total Net Income" measure="1" displayFolder="" measureGroup="Financials" count="0"/>
    <cacheHierarchy uniqueName="[Measures].[Net Margin %]" caption="Net Margin %" measure="1" displayFolder="" measureGroup="Financials" count="0"/>
    <cacheHierarchy uniqueName="[Measures].[Revenue PY]" caption="Revenue PY" measure="1" displayFolder="" measureGroup="Financials" count="0"/>
    <cacheHierarchy uniqueName="[Measures].[YoY Revenue Growth %]" caption="YoY Revenue Growth %" measure="1" displayFolder="" measureGroup="Financials" count="0"/>
    <cacheHierarchy uniqueName="[Measures].[Revenue 3Y Ago]" caption="Revenue 3Y Ago" measure="1" displayFolder="" measureGroup="Financials" count="0"/>
    <cacheHierarchy uniqueName="[Measures].[Revenue 3Y CAGR %]" caption="Revenue 3Y CAGR %" measure="1" displayFolder="" measureGroup="Financials" count="0"/>
    <cacheHierarchy uniqueName="[Measures].[Segment Net Margin %]" caption="Segment Net Margin %" measure="1" displayFolder="" measureGroup="Financials" count="0"/>
    <cacheHierarchy uniqueName="[Measures].[Margin vs Segment (pts)]" caption="Margin vs Segment (pts)" measure="1" displayFolder="" measureGroup="Financials" count="0"/>
    <cacheHierarchy uniqueName="[Measures].[__XL_Count Companies]" caption="__XL_Count Companies" measure="1" displayFolder="" measureGroup="Companies" count="0" hidden="1"/>
    <cacheHierarchy uniqueName="[Measures].[__XL_Count Financials]" caption="__XL_Count Financials" measure="1" displayFolder="" measureGroup="Financials" count="0" hidden="1"/>
    <cacheHierarchy uniqueName="[Measures].[__XL_Count Year]" caption="__XL_Count Year" measure="1" displayFolder="" measureGroup="Ye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3686681"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ka Lisoni" refreshedDate="46204.573878240742" backgroundQuery="1" createdVersion="8" refreshedVersion="8" minRefreshableVersion="3" recordCount="0" supportSubquery="1" supportAdvancedDrill="1" xr:uid="{2F66A828-3768-4B53-BB48-BD7A18351319}">
  <cacheSource type="external" connectionId="7">
    <extLst>
      <ext xmlns:x14="http://schemas.microsoft.com/office/spreadsheetml/2009/9/main" uri="{F057638F-6D5F-4e77-A914-E7F072B9BCA8}">
        <x14:sourceConnection name="ThisWorkbookDataModel"/>
      </ext>
    </extLst>
  </cacheSource>
  <cacheFields count="4">
    <cacheField name="[Year].[Year].[Year]" caption="Year" numFmtId="0" hierarchy="9"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Year].[Year].&amp;[2021]"/>
            <x15:cachedUniqueName index="1" name="[Year].[Year].&amp;[2022]"/>
            <x15:cachedUniqueName index="2" name="[Year].[Year].&amp;[2023]"/>
            <x15:cachedUniqueName index="3" name="[Year].[Year].&amp;[2024]"/>
          </x15:cachedUniqueNames>
        </ext>
      </extLst>
    </cacheField>
    <cacheField name="[Measures].[YoY Revenue Growth %]" caption="YoY Revenue Growth %" numFmtId="0" hierarchy="16" level="32767"/>
    <cacheField name="[Companies].[Segment].[Segment]" caption="Segment" numFmtId="0" hierarchy="2" level="1">
      <sharedItems containsSemiMixedTypes="0" containsNonDate="0" containsString="0"/>
    </cacheField>
    <cacheField name="[Companies].[Company].[Company]" caption="Company" numFmtId="0" hierarchy="1" level="1">
      <sharedItems containsSemiMixedTypes="0" containsNonDate="0" containsString="0"/>
    </cacheField>
  </cacheFields>
  <cacheHierarchies count="25">
    <cacheHierarchy uniqueName="[Companies].[Ticker]" caption="Ticker" attribute="1" defaultMemberUniqueName="[Companies].[Ticker].[All]" allUniqueName="[Companies].[Ticker].[All]" dimensionUniqueName="[Companies]" displayFolder="" count="0" memberValueDatatype="130" unbalanced="0"/>
    <cacheHierarchy uniqueName="[Companies].[Company]" caption="Company" attribute="1" defaultMemberUniqueName="[Companies].[Company].[All]" allUniqueName="[Companies].[Company].[All]" dimensionUniqueName="[Companies]" displayFolder="" count="2" memberValueDatatype="130" unbalanced="0">
      <fieldsUsage count="2">
        <fieldUsage x="-1"/>
        <fieldUsage x="3"/>
      </fieldsUsage>
    </cacheHierarchy>
    <cacheHierarchy uniqueName="[Companies].[Segment]" caption="Segment" attribute="1" defaultMemberUniqueName="[Companies].[Segment].[All]" allUniqueName="[Companies].[Segment].[All]" dimensionUniqueName="[Companies]" displayFolder="" count="2" memberValueDatatype="130" unbalanced="0">
      <fieldsUsage count="2">
        <fieldUsage x="-1"/>
        <fieldUsage x="2"/>
      </fieldsUsage>
    </cacheHierarchy>
    <cacheHierarchy uniqueName="[Companies].[Country]" caption="Country" attribute="1" defaultMemberUniqueName="[Companies].[Country].[All]" allUniqueName="[Companies].[Country].[All]" dimensionUniqueName="[Companies]" displayFolder="" count="0" memberValueDatatype="130" unbalanced="0"/>
    <cacheHierarchy uniqueName="[Companies].[FY End]" caption="FY End" attribute="1" defaultMemberUniqueName="[Companies].[FY End].[All]" allUniqueName="[Companies].[FY End].[All]" dimensionUniqueName="[Companies]" displayFolder="" count="0" memberValueDatatype="130" unbalanced="0"/>
    <cacheHierarchy uniqueName="[Financials].[Ticker]" caption="Ticker" attribute="1" defaultMemberUniqueName="[Financials].[Ticker].[All]" allUniqueName="[Financials].[Ticker].[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Net Income]" caption="Net Income" attribute="1" defaultMemberUniqueName="[Financials].[Net Income].[All]" allUniqueName="[Financials].[Net Income].[All]" dimensionUniqueName="[Financial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0"/>
      </fieldsUsage>
    </cacheHierarchy>
    <cacheHierarchy uniqueName="[Measures].[Sum of Year]" caption="Sum of Year" measure="1" displayFolder="" measureGroup="Financials" count="0">
      <extLst>
        <ext xmlns:x15="http://schemas.microsoft.com/office/spreadsheetml/2010/11/main" uri="{B97F6D7D-B522-45F9-BDA1-12C45D357490}">
          <x15:cacheHierarchy aggregatedColumn="6"/>
        </ext>
      </extLst>
    </cacheHierarchy>
    <cacheHierarchy uniqueName="[Measures].[Sum of Year 2]" caption="Sum of Year 2" measure="1" displayFolder="" measureGroup="Year"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Financials" count="0"/>
    <cacheHierarchy uniqueName="[Measures].[Total Net Income]" caption="Total Net Income" measure="1" displayFolder="" measureGroup="Financials" count="0"/>
    <cacheHierarchy uniqueName="[Measures].[Net Margin %]" caption="Net Margin %" measure="1" displayFolder="" measureGroup="Financials" count="0"/>
    <cacheHierarchy uniqueName="[Measures].[Revenue PY]" caption="Revenue PY" measure="1" displayFolder="" measureGroup="Financials" count="0"/>
    <cacheHierarchy uniqueName="[Measures].[YoY Revenue Growth %]" caption="YoY Revenue Growth %" measure="1" displayFolder="" measureGroup="Financials" count="0" oneField="1">
      <fieldsUsage count="1">
        <fieldUsage x="1"/>
      </fieldsUsage>
    </cacheHierarchy>
    <cacheHierarchy uniqueName="[Measures].[Revenue 3Y Ago]" caption="Revenue 3Y Ago" measure="1" displayFolder="" measureGroup="Financials" count="0"/>
    <cacheHierarchy uniqueName="[Measures].[Revenue 3Y CAGR %]" caption="Revenue 3Y CAGR %" measure="1" displayFolder="" measureGroup="Financials" count="0"/>
    <cacheHierarchy uniqueName="[Measures].[Segment Net Margin %]" caption="Segment Net Margin %" measure="1" displayFolder="" measureGroup="Financials" count="0"/>
    <cacheHierarchy uniqueName="[Measures].[Margin vs Segment (pts)]" caption="Margin vs Segment (pts)" measure="1" displayFolder="" measureGroup="Financials" count="0"/>
    <cacheHierarchy uniqueName="[Measures].[__XL_Count Companies]" caption="__XL_Count Companies" measure="1" displayFolder="" measureGroup="Companies" count="0" hidden="1"/>
    <cacheHierarchy uniqueName="[Measures].[__XL_Count Financials]" caption="__XL_Count Financials" measure="1" displayFolder="" measureGroup="Financials" count="0" hidden="1"/>
    <cacheHierarchy uniqueName="[Measures].[__XL_Count Year]" caption="__XL_Count Year" measure="1" displayFolder="" measureGroup="Year" count="0" hidden="1"/>
    <cacheHierarchy uniqueName="[Measures].[__No measures defined]" caption="__No measures defined" measure="1" displayFolder="" count="0" hidden="1"/>
  </cacheHierarchies>
  <kpis count="0"/>
  <dimensions count="4">
    <dimension name="Companies" uniqueName="[Companies]" caption="Companies"/>
    <dimension name="Financials" uniqueName="[Financials]" caption="Financials"/>
    <dimension measure="1" name="Measures" uniqueName="[Measures]" caption="Measures"/>
    <dimension name="Year" uniqueName="[Year]" caption="Year"/>
  </dimensions>
  <measureGroups count="3">
    <measureGroup name="Companies" caption="Companies"/>
    <measureGroup name="Financials" caption="Financials"/>
    <measureGroup name="Year" caption="Year"/>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pivotCacheId="15025976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ka Lisoni" refreshedDate="46204.573879629628" backgroundQuery="1" createdVersion="8" refreshedVersion="8" minRefreshableVersion="3" recordCount="0" supportSubquery="1" supportAdvancedDrill="1" xr:uid="{EDCEE278-8F42-43A6-B269-E2ADC5CD5573}">
  <cacheSource type="external" connectionId="7">
    <extLst>
      <ext xmlns:x14="http://schemas.microsoft.com/office/spreadsheetml/2009/9/main" uri="{F057638F-6D5F-4e77-A914-E7F072B9BCA8}">
        <x14:sourceConnection name="ThisWorkbookDataModel"/>
      </ext>
    </extLst>
  </cacheSource>
  <cacheFields count="4">
    <cacheField name="[Companies].[Company].[Company]" caption="Company" numFmtId="0" hierarchy="1" level="1">
      <sharedItems count="9">
        <s v="Alaska Air Group"/>
        <s v="Allegiant Travel"/>
        <s v="American Airlines"/>
        <s v="Delta Air Lines"/>
        <s v="Frontier Group"/>
        <s v="JetBlue Airways"/>
        <s v="Southwest Airlines"/>
        <s v="Spirit Airlines"/>
        <s v="United Airlines"/>
      </sharedItems>
    </cacheField>
    <cacheField name="[Measures].[Net Margin %]" caption="Net Margin %" numFmtId="0" hierarchy="14" level="32767"/>
    <cacheField name="[Financials].[Year].[Year]" caption="Year" numFmtId="0" hierarchy="6" level="1">
      <sharedItems containsSemiMixedTypes="0" containsNonDate="0" containsString="0"/>
    </cacheField>
    <cacheField name="[Companies].[Segment].[Segment]" caption="Segment" numFmtId="0" hierarchy="2" level="1">
      <sharedItems containsSemiMixedTypes="0" containsNonDate="0" containsString="0"/>
    </cacheField>
  </cacheFields>
  <cacheHierarchies count="25">
    <cacheHierarchy uniqueName="[Companies].[Ticker]" caption="Ticker" attribute="1" defaultMemberUniqueName="[Companies].[Ticker].[All]" allUniqueName="[Companies].[Ticker].[All]" dimensionUniqueName="[Companies]" displayFolder="" count="0" memberValueDatatype="130" unbalanced="0"/>
    <cacheHierarchy uniqueName="[Companies].[Company]" caption="Company" attribute="1" defaultMemberUniqueName="[Companies].[Company].[All]" allUniqueName="[Companies].[Company].[All]" dimensionUniqueName="[Companies]" displayFolder="" count="2" memberValueDatatype="130" unbalanced="0">
      <fieldsUsage count="2">
        <fieldUsage x="-1"/>
        <fieldUsage x="0"/>
      </fieldsUsage>
    </cacheHierarchy>
    <cacheHierarchy uniqueName="[Companies].[Segment]" caption="Segment" attribute="1" defaultMemberUniqueName="[Companies].[Segment].[All]" allUniqueName="[Companies].[Segment].[All]" dimensionUniqueName="[Companies]" displayFolder="" count="2" memberValueDatatype="130" unbalanced="0">
      <fieldsUsage count="2">
        <fieldUsage x="-1"/>
        <fieldUsage x="3"/>
      </fieldsUsage>
    </cacheHierarchy>
    <cacheHierarchy uniqueName="[Companies].[Country]" caption="Country" attribute="1" defaultMemberUniqueName="[Companies].[Country].[All]" allUniqueName="[Companies].[Country].[All]" dimensionUniqueName="[Companies]" displayFolder="" count="0" memberValueDatatype="130" unbalanced="0"/>
    <cacheHierarchy uniqueName="[Companies].[FY End]" caption="FY End" attribute="1" defaultMemberUniqueName="[Companies].[FY End].[All]" allUniqueName="[Companies].[FY End].[All]" dimensionUniqueName="[Companies]" displayFolder="" count="0" memberValueDatatype="130" unbalanced="0"/>
    <cacheHierarchy uniqueName="[Financials].[Ticker]" caption="Ticker" attribute="1" defaultMemberUniqueName="[Financials].[Ticker].[All]" allUniqueName="[Financials].[Ticker].[All]" dimensionUniqueName="[Financials]" displayFolder="" count="0" memberValueDatatype="130" unbalanced="0"/>
    <cacheHierarchy uniqueName="[Financials].[Year]" caption="Year" attribute="1" defaultMemberUniqueName="[Financials].[Year].[All]" allUniqueName="[Financials].[Year].[All]" dimensionUniqueName="[Financials]" displayFolder="" count="2" memberValueDatatype="20" unbalanced="0">
      <fieldsUsage count="2">
        <fieldUsage x="-1"/>
        <fieldUsage x="2"/>
      </fieldsUsage>
    </cacheHierarchy>
    <cacheHierarchy uniqueName="[Financials].[Revenue]" caption="Revenue" attribute="1" defaultMemberUniqueName="[Financials].[Revenue].[All]" allUniqueName="[Financials].[Revenue].[All]" dimensionUniqueName="[Financials]" displayFolder="" count="0" memberValueDatatype="5" unbalanced="0"/>
    <cacheHierarchy uniqueName="[Financials].[Net Income]" caption="Net Income" attribute="1" defaultMemberUniqueName="[Financials].[Net Income].[All]" allUniqueName="[Financials].[Net Income].[All]" dimensionUniqueName="[Financials]" displayFolder="" count="0" memberValueDatatype="5" unbalanced="0"/>
    <cacheHierarchy uniqueName="[Year].[Year]" caption="Year" attribute="1" defaultMemberUniqueName="[Year].[Year].[All]" allUniqueName="[Year].[Year].[All]" dimensionUniqueName="[Year]" displayFolder="" count="0" memberValueDatatype="20" unbalanced="0"/>
    <cacheHierarchy uniqueName="[Measures].[Sum of Year]" caption="Sum of Year" measure="1" displayFolder="" measureGroup="Financials" count="0">
      <extLst>
        <ext xmlns:x15="http://schemas.microsoft.com/office/spreadsheetml/2010/11/main" uri="{B97F6D7D-B522-45F9-BDA1-12C45D357490}">
          <x15:cacheHierarchy aggregatedColumn="6"/>
        </ext>
      </extLst>
    </cacheHierarchy>
    <cacheHierarchy uniqueName="[Measures].[Sum of Year 2]" caption="Sum of Year 2" measure="1" displayFolder="" measureGroup="Year"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Financials" count="0"/>
    <cacheHierarchy uniqueName="[Measures].[Total Net Income]" caption="Total Net Income" measure="1" displayFolder="" measureGroup="Financials" count="0"/>
    <cacheHierarchy uniqueName="[Measures].[Net Margin %]" caption="Net Margin %" measure="1" displayFolder="" measureGroup="Financials" count="0" oneField="1">
      <fieldsUsage count="1">
        <fieldUsage x="1"/>
      </fieldsUsage>
    </cacheHierarchy>
    <cacheHierarchy uniqueName="[Measures].[Revenue PY]" caption="Revenue PY" measure="1" displayFolder="" measureGroup="Financials" count="0"/>
    <cacheHierarchy uniqueName="[Measures].[YoY Revenue Growth %]" caption="YoY Revenue Growth %" measure="1" displayFolder="" measureGroup="Financials" count="0"/>
    <cacheHierarchy uniqueName="[Measures].[Revenue 3Y Ago]" caption="Revenue 3Y Ago" measure="1" displayFolder="" measureGroup="Financials" count="0"/>
    <cacheHierarchy uniqueName="[Measures].[Revenue 3Y CAGR %]" caption="Revenue 3Y CAGR %" measure="1" displayFolder="" measureGroup="Financials" count="0"/>
    <cacheHierarchy uniqueName="[Measures].[Segment Net Margin %]" caption="Segment Net Margin %" measure="1" displayFolder="" measureGroup="Financials" count="0"/>
    <cacheHierarchy uniqueName="[Measures].[Margin vs Segment (pts)]" caption="Margin vs Segment (pts)" measure="1" displayFolder="" measureGroup="Financials" count="0"/>
    <cacheHierarchy uniqueName="[Measures].[__XL_Count Companies]" caption="__XL_Count Companies" measure="1" displayFolder="" measureGroup="Companies" count="0" hidden="1"/>
    <cacheHierarchy uniqueName="[Measures].[__XL_Count Financials]" caption="__XL_Count Financials" measure="1" displayFolder="" measureGroup="Financials" count="0" hidden="1"/>
    <cacheHierarchy uniqueName="[Measures].[__XL_Count Year]" caption="__XL_Count Year" measure="1" displayFolder="" measureGroup="Year" count="0" hidden="1"/>
    <cacheHierarchy uniqueName="[Measures].[__No measures defined]" caption="__No measures defined" measure="1" displayFolder="" count="0" hidden="1"/>
  </cacheHierarchies>
  <kpis count="0"/>
  <dimensions count="4">
    <dimension name="Companies" uniqueName="[Companies]" caption="Companies"/>
    <dimension name="Financials" uniqueName="[Financials]" caption="Financials"/>
    <dimension measure="1" name="Measures" uniqueName="[Measures]" caption="Measures"/>
    <dimension name="Year" uniqueName="[Year]" caption="Year"/>
  </dimensions>
  <measureGroups count="3">
    <measureGroup name="Companies" caption="Companies"/>
    <measureGroup name="Financials" caption="Financials"/>
    <measureGroup name="Year" caption="Year"/>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pivotCacheId="15185072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ka Lisoni" refreshedDate="46204.573880902775" backgroundQuery="1" createdVersion="8" refreshedVersion="8" minRefreshableVersion="3" recordCount="0" supportSubquery="1" supportAdvancedDrill="1" xr:uid="{C111DEEE-263D-416D-8A01-6633CE96B62F}">
  <cacheSource type="external" connectionId="7">
    <extLst>
      <ext xmlns:x14="http://schemas.microsoft.com/office/spreadsheetml/2009/9/main" uri="{F057638F-6D5F-4e77-A914-E7F072B9BCA8}">
        <x14:sourceConnection name="ThisWorkbookDataModel"/>
      </ext>
    </extLst>
  </cacheSource>
  <cacheFields count="3">
    <cacheField name="[Year].[Year].[Year]" caption="Year" numFmtId="0" hierarchy="9"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Year].[Year].&amp;[2020]"/>
            <x15:cachedUniqueName index="1" name="[Year].[Year].&amp;[2021]"/>
            <x15:cachedUniqueName index="2" name="[Year].[Year].&amp;[2022]"/>
            <x15:cachedUniqueName index="3" name="[Year].[Year].&amp;[2023]"/>
            <x15:cachedUniqueName index="4" name="[Year].[Year].&amp;[2024]"/>
          </x15:cachedUniqueNames>
        </ext>
      </extLst>
    </cacheField>
    <cacheField name="[Companies].[Segment].[Segment]" caption="Segment" numFmtId="0" hierarchy="2" level="1">
      <sharedItems count="3">
        <s v="Low-Cost Carrier"/>
        <s v="Network/Legacy"/>
        <s v="Ultra-Low-Cost"/>
      </sharedItems>
    </cacheField>
    <cacheField name="[Measures].[Total revenue]" caption="Total revenue" numFmtId="0" hierarchy="12" level="32767"/>
  </cacheFields>
  <cacheHierarchies count="25">
    <cacheHierarchy uniqueName="[Companies].[Ticker]" caption="Ticker" attribute="1" defaultMemberUniqueName="[Companies].[Ticker].[All]" allUniqueName="[Companies].[Ticker].[All]" dimensionUniqueName="[Companies]" displayFolder="" count="0" memberValueDatatype="130" unbalanced="0"/>
    <cacheHierarchy uniqueName="[Companies].[Company]" caption="Company" attribute="1" defaultMemberUniqueName="[Companies].[Company].[All]" allUniqueName="[Companies].[Company].[All]" dimensionUniqueName="[Companies]" displayFolder="" count="0" memberValueDatatype="130" unbalanced="0"/>
    <cacheHierarchy uniqueName="[Companies].[Segment]" caption="Segment" attribute="1" defaultMemberUniqueName="[Companies].[Segment].[All]" allUniqueName="[Companies].[Segment].[All]" dimensionUniqueName="[Companies]" displayFolder="" count="2" memberValueDatatype="130" unbalanced="0">
      <fieldsUsage count="2">
        <fieldUsage x="-1"/>
        <fieldUsage x="1"/>
      </fieldsUsage>
    </cacheHierarchy>
    <cacheHierarchy uniqueName="[Companies].[Country]" caption="Country" attribute="1" defaultMemberUniqueName="[Companies].[Country].[All]" allUniqueName="[Companies].[Country].[All]" dimensionUniqueName="[Companies]" displayFolder="" count="0" memberValueDatatype="130" unbalanced="0"/>
    <cacheHierarchy uniqueName="[Companies].[FY End]" caption="FY End" attribute="1" defaultMemberUniqueName="[Companies].[FY End].[All]" allUniqueName="[Companies].[FY End].[All]" dimensionUniqueName="[Companies]" displayFolder="" count="0" memberValueDatatype="130" unbalanced="0"/>
    <cacheHierarchy uniqueName="[Financials].[Ticker]" caption="Ticker" attribute="1" defaultMemberUniqueName="[Financials].[Ticker].[All]" allUniqueName="[Financials].[Ticker].[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Net Income]" caption="Net Income" attribute="1" defaultMemberUniqueName="[Financials].[Net Income].[All]" allUniqueName="[Financials].[Net Income].[All]" dimensionUniqueName="[Financial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0"/>
      </fieldsUsage>
    </cacheHierarchy>
    <cacheHierarchy uniqueName="[Measures].[Sum of Year]" caption="Sum of Year" measure="1" displayFolder="" measureGroup="Financials" count="0">
      <extLst>
        <ext xmlns:x15="http://schemas.microsoft.com/office/spreadsheetml/2010/11/main" uri="{B97F6D7D-B522-45F9-BDA1-12C45D357490}">
          <x15:cacheHierarchy aggregatedColumn="6"/>
        </ext>
      </extLst>
    </cacheHierarchy>
    <cacheHierarchy uniqueName="[Measures].[Sum of Year 2]" caption="Sum of Year 2" measure="1" displayFolder="" measureGroup="Year"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Financials" count="0" oneField="1">
      <fieldsUsage count="1">
        <fieldUsage x="2"/>
      </fieldsUsage>
    </cacheHierarchy>
    <cacheHierarchy uniqueName="[Measures].[Total Net Income]" caption="Total Net Income" measure="1" displayFolder="" measureGroup="Financials" count="0"/>
    <cacheHierarchy uniqueName="[Measures].[Net Margin %]" caption="Net Margin %" measure="1" displayFolder="" measureGroup="Financials" count="0"/>
    <cacheHierarchy uniqueName="[Measures].[Revenue PY]" caption="Revenue PY" measure="1" displayFolder="" measureGroup="Financials" count="0"/>
    <cacheHierarchy uniqueName="[Measures].[YoY Revenue Growth %]" caption="YoY Revenue Growth %" measure="1" displayFolder="" measureGroup="Financials" count="0"/>
    <cacheHierarchy uniqueName="[Measures].[Revenue 3Y Ago]" caption="Revenue 3Y Ago" measure="1" displayFolder="" measureGroup="Financials" count="0"/>
    <cacheHierarchy uniqueName="[Measures].[Revenue 3Y CAGR %]" caption="Revenue 3Y CAGR %" measure="1" displayFolder="" measureGroup="Financials" count="0"/>
    <cacheHierarchy uniqueName="[Measures].[Segment Net Margin %]" caption="Segment Net Margin %" measure="1" displayFolder="" measureGroup="Financials" count="0"/>
    <cacheHierarchy uniqueName="[Measures].[Margin vs Segment (pts)]" caption="Margin vs Segment (pts)" measure="1" displayFolder="" measureGroup="Financials" count="0"/>
    <cacheHierarchy uniqueName="[Measures].[__XL_Count Companies]" caption="__XL_Count Companies" measure="1" displayFolder="" measureGroup="Companies" count="0" hidden="1"/>
    <cacheHierarchy uniqueName="[Measures].[__XL_Count Financials]" caption="__XL_Count Financials" measure="1" displayFolder="" measureGroup="Financials" count="0" hidden="1"/>
    <cacheHierarchy uniqueName="[Measures].[__XL_Count Year]" caption="__XL_Count Year" measure="1" displayFolder="" measureGroup="Year" count="0" hidden="1"/>
    <cacheHierarchy uniqueName="[Measures].[__No measures defined]" caption="__No measures defined" measure="1" displayFolder="" count="0" hidden="1"/>
  </cacheHierarchies>
  <kpis count="0"/>
  <dimensions count="4">
    <dimension name="Companies" uniqueName="[Companies]" caption="Companies"/>
    <dimension name="Financials" uniqueName="[Financials]" caption="Financials"/>
    <dimension measure="1" name="Measures" uniqueName="[Measures]" caption="Measures"/>
    <dimension name="Year" uniqueName="[Year]" caption="Year"/>
  </dimensions>
  <measureGroups count="3">
    <measureGroup name="Companies" caption="Companies"/>
    <measureGroup name="Financials" caption="Financials"/>
    <measureGroup name="Year" caption="Year"/>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pivotCacheId="4456023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7A0BD-7C0D-41D8-AB9F-CC6D6D8C09B4}" name="PivotChartTable1"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E8"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fld="2" subtotal="count" baseField="0" baseItem="0"/>
  </dataFields>
  <chartFormats count="6">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4" cacheId="445602350">
        <x15:pivotRow count="4">
          <x15:c>
            <x15:v>12005</x15:v>
            <x15:x in="0"/>
          </x15:c>
          <x15:c>
            <x15:v>53353</x15:v>
            <x15:x in="0"/>
          </x15:c>
          <x15:c>
            <x15:v>4050</x15:v>
            <x15:x in="0"/>
          </x15:c>
          <x15:c>
            <x15:v>69408</x15:v>
            <x15:x in="0"/>
          </x15:c>
        </x15:pivotRow>
        <x15:pivotRow count="4">
          <x15:c>
            <x15:v>21827</x15:v>
            <x15:x in="0"/>
          </x15:c>
          <x15:c>
            <x15:v>90591</x15:v>
            <x15:x in="0"/>
          </x15:c>
          <x15:c>
            <x15:v>7009</x15:v>
            <x15:x in="0"/>
          </x15:c>
          <x15:c>
            <x15:v>119427</x15:v>
            <x15:x in="0"/>
          </x15:c>
        </x15:pivotRow>
        <x15:pivotRow count="4">
          <x15:c>
            <x15:v>32972</x15:v>
            <x15:x in="0"/>
          </x15:c>
          <x15:c>
            <x15:v>154154</x15:v>
            <x15:x in="0"/>
          </x15:c>
          <x15:c>
            <x15:v>10695</x15:v>
            <x15:x in="0"/>
          </x15:c>
          <x15:c>
            <x15:v>197821</x15:v>
            <x15:x in="0"/>
          </x15:c>
        </x15:pivotRow>
        <x15:pivotRow count="4">
          <x15:c>
            <x15:v>35706</x15:v>
            <x15:x in="0"/>
          </x15:c>
          <x15:c>
            <x15:v>174978</x15:v>
            <x15:x in="0"/>
          </x15:c>
          <x15:c>
            <x15:v>11461</x15:v>
            <x15:x in="0"/>
          </x15:c>
          <x15:c>
            <x15:v>222145</x15:v>
            <x15:x in="0"/>
          </x15:c>
        </x15:pivotRow>
        <x15:pivotRow count="4">
          <x15:c>
            <x15:v>36760</x15:v>
            <x15:x in="0"/>
          </x15:c>
          <x15:c>
            <x15:v>184652</x15:v>
            <x15:x in="0"/>
          </x15:c>
          <x15:c>
            <x15:v>11201</x15:v>
            <x15:x in="0"/>
          </x15:c>
          <x15:c>
            <x15:v>232613</x15:v>
            <x15:x in="0"/>
          </x15:c>
        </x15:pivotRow>
        <x15:pivotRow count="4">
          <x15:c>
            <x15:v>139270</x15:v>
            <x15:x in="0"/>
          </x15:c>
          <x15:c>
            <x15:v>657728</x15:v>
            <x15:x in="0"/>
          </x15:c>
          <x15:c>
            <x15:v>44416</x15:v>
            <x15:x in="0"/>
          </x15:c>
          <x15:c>
            <x15:v>841414</x15:v>
            <x15:x in="0"/>
          </x15:c>
        </x15:pivotRow>
      </x15:pivotTableData>
    </ext>
    <ext xmlns:x15="http://schemas.microsoft.com/office/spreadsheetml/2010/11/main" uri="{E67621CE-5B39-4880-91FE-76760E9C1902}">
      <x15:pivotTableUISettings>
        <x15:activeTabTopLevelEntity name="[Year]"/>
        <x15:activeTabTopLevelEntity name="[Companie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B5DF2-D07C-4994-91D8-EB7EC8CA3455}" name="PivotChartTable2"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B13" firstHeaderRow="1" firstDataRow="1" firstDataCol="1" rowPageCount="1" colPageCount="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pageFields count="1">
    <pageField fld="2" hier="6" name="[Financials].[Year].[All]" cap="All"/>
  </pageField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 %;-0.0 %;0.0 %"/>
      </x15:pivotTableServerFormats>
    </ext>
    <ext xmlns:x15="http://schemas.microsoft.com/office/spreadsheetml/2010/11/main" uri="{44433962-1CF7-4059-B4EE-95C3D5FFCF73}">
      <x15:pivotTableData rowCount="10" columnCount="1" cacheId="1518507247">
        <x15:pivotRow count="1">
          <x15:c>
            <x15:v>-3.5380764417059785E-3</x15:v>
            <x15:x in="0"/>
          </x15:c>
        </x15:pivotRow>
        <x15:pivotRow count="1">
          <x15:c>
            <x15:v>-1.5449018239808631E-2</x15:v>
            <x15:x in="0"/>
          </x15:c>
        </x15:pivotRow>
        <x15:pivotRow count="1">
          <x15:c>
            <x15:v>-4.4702223053413322E-2</x15:v>
            <x15:x in="0"/>
          </x15:c>
        </x15:pivotRow>
        <x15:pivotRow count="1">
          <x15:c>
            <x15:v>-1.2523761086589312E-2</x15:v>
            <x15:x in="0"/>
          </x15:c>
        </x15:pivotRow>
        <x15:pivotRow count="1">
          <x15:c>
            <x15:v>-1.8074010572938993E-2</x15:v>
            <x15:x in="0"/>
          </x15:c>
        </x15:pivotRow>
        <x15:pivotRow count="1">
          <x15:c>
            <x15:v>-8.1065759637188206E-2</x15:v>
            <x15:x in="0"/>
          </x15:c>
        </x15:pivotRow>
        <x15:pivotRow count="1">
          <x15:c>
            <x15:v>-6.1432512276720207E-3</x15:v>
            <x15:x in="0"/>
          </x15:c>
        </x15:pivotRow>
        <x15:pivotRow count="1">
          <x15:c>
            <x15:v>-0.15158204562178071</x15:v>
            <x15:x in="0"/>
          </x15:c>
        </x15:pivotRow>
        <x15:pivotRow count="1">
          <x15:c>
            <x15:v>-1.2921256463182849E-2</x15:v>
            <x15:x in="0"/>
          </x15:c>
        </x15:pivotRow>
        <x15:pivotRow count="1">
          <x15:c>
            <x15:v>-2.5681769022146052E-2</x15:v>
            <x15:x in="0"/>
          </x15:c>
        </x15:pivotRow>
      </x15:pivotTableData>
    </ext>
    <ext xmlns:x15="http://schemas.microsoft.com/office/spreadsheetml/2010/11/main" uri="{E67621CE-5B39-4880-91FE-76760E9C1902}">
      <x15:pivotTableUISettings>
        <x15:activeTabTopLevelEntity name="[Companie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98E43D-5EA7-49FB-A8DB-9FFC8266AC5A}" name="PivotChartTable3"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 %;-0.0 %;0.0 %"/>
      </x15:pivotTableServerFormats>
    </ext>
    <ext xmlns:x15="http://schemas.microsoft.com/office/spreadsheetml/2010/11/main" uri="{44433962-1CF7-4059-B4EE-95C3D5FFCF73}">
      <x15:pivotTableData rowCount="5" columnCount="1" cacheId="1502597691">
        <x15:pivotRow count="1">
          <x15:c>
            <x15:v>0.72065179806362378</x15:v>
            <x15:x in="0"/>
          </x15:c>
        </x15:pivotRow>
        <x15:pivotRow count="1">
          <x15:c>
            <x15:v>0.65641772798445908</x15:v>
            <x15:x in="0"/>
          </x15:c>
        </x15:pivotRow>
        <x15:pivotRow count="1">
          <x15:c>
            <x15:v>0.12295964533593501</x15:v>
            <x15:x in="0"/>
          </x15:c>
        </x15:pivotRow>
        <x15:pivotRow count="1">
          <x15:c>
            <x15:v>4.7122375025321302E-2</x15:v>
            <x15:x in="0"/>
          </x15:c>
        </x15:pivotRow>
        <x15:pivotRow count="1">
          <x15:c>
            <x15:v>2.7876792185284387</x15:v>
            <x15:x in="0"/>
          </x15:c>
        </x15:pivotRow>
      </x15:pivotTableData>
    </ext>
    <ext xmlns:x15="http://schemas.microsoft.com/office/spreadsheetml/2010/11/main" uri="{E67621CE-5B39-4880-91FE-76760E9C1902}">
      <x15:pivotTableUISettings>
        <x15:activeTabTopLevelEntity name="[Year]"/>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959C6-5B30-472A-9BC6-B9624A0015BD}" name="PivotTable6" cacheId="95" dataOnRows="1" applyNumberFormats="0" applyBorderFormats="0" applyFontFormats="0" applyPatternFormats="0" applyAlignmentFormats="0" applyWidthHeightFormats="1" dataCaption="Values" tag="4e955f77-c037-42cc-9214-aa8be09702b8" updatedVersion="8" minRefreshableVersion="3" useAutoFormatting="1" subtotalHiddenItems="1" rowGrandTotals="0" colGrandTotals="0" itemPrintTitles="1" createdVersion="8" indent="0" compact="0" compactData="0" multipleFieldFilters="0">
  <location ref="I29:K56" firstHeaderRow="1" firstDataRow="1" firstDataCol="2" rowPageCount="1" colPageCount="1"/>
  <pivotFields count="5">
    <pivotField axis="axisRow" compact="0" allDrilled="1" outline="0" subtotalTop="0" showAll="0" dataSourceSort="1" defaultSubtotal="0" defaultAttributeDrillState="1">
      <items count="9">
        <item x="0"/>
        <item x="1"/>
        <item x="2"/>
        <item x="3"/>
        <item x="4"/>
        <item x="5"/>
        <item x="6"/>
        <item x="7"/>
        <item x="8"/>
      </items>
    </pivotField>
    <pivotField axis="axisPage"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2"/>
  </rowFields>
  <rowItems count="27">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rowItems>
  <colItems count="1">
    <i/>
  </colItems>
  <pageFields count="1">
    <pageField fld="1" hier="9" name="[Year].[Year].[All]" cap="All"/>
  </pageFields>
  <dataFields count="3">
    <dataField fld="2" subtotal="count" baseField="0" baseItem="0"/>
    <dataField fld="4" subtotal="count" baseField="0" baseItem="0"/>
    <dataField fld="3" subtotal="count" baseField="0" baseItem="0"/>
  </dataFields>
  <formats count="39">
    <format dxfId="39">
      <pivotArea type="all" dataOnly="0" outline="0" fieldPosition="0"/>
    </format>
    <format dxfId="40">
      <pivotArea outline="0" collapsedLevelsAreSubtotals="1" fieldPosition="0"/>
    </format>
    <format dxfId="41">
      <pivotArea field="0" type="button" dataOnly="0" labelOnly="1" outline="0" axis="axisRow" fieldPosition="0"/>
    </format>
    <format dxfId="42">
      <pivotArea field="-2" type="button" dataOnly="0" labelOnly="1" outline="0" axis="axisRow" fieldPosition="1"/>
    </format>
    <format dxfId="43">
      <pivotArea dataOnly="0" labelOnly="1" outline="0" fieldPosition="0">
        <references count="1">
          <reference field="0" count="0"/>
        </references>
      </pivotArea>
    </format>
    <format dxfId="44">
      <pivotArea dataOnly="0" labelOnly="1" outline="0" fieldPosition="0">
        <references count="2">
          <reference field="4294967294" count="2">
            <x v="0"/>
            <x v="2"/>
          </reference>
          <reference field="0" count="1" selected="0">
            <x v="0"/>
          </reference>
        </references>
      </pivotArea>
    </format>
    <format dxfId="45">
      <pivotArea dataOnly="0" labelOnly="1" outline="0" fieldPosition="0">
        <references count="2">
          <reference field="4294967294" count="2">
            <x v="0"/>
            <x v="2"/>
          </reference>
          <reference field="0" count="1" selected="0">
            <x v="1"/>
          </reference>
        </references>
      </pivotArea>
    </format>
    <format dxfId="46">
      <pivotArea dataOnly="0" labelOnly="1" outline="0" fieldPosition="0">
        <references count="2">
          <reference field="4294967294" count="2">
            <x v="0"/>
            <x v="2"/>
          </reference>
          <reference field="0" count="1" selected="0">
            <x v="2"/>
          </reference>
        </references>
      </pivotArea>
    </format>
    <format dxfId="47">
      <pivotArea dataOnly="0" labelOnly="1" outline="0" fieldPosition="0">
        <references count="2">
          <reference field="4294967294" count="2">
            <x v="0"/>
            <x v="2"/>
          </reference>
          <reference field="0" count="1" selected="0">
            <x v="3"/>
          </reference>
        </references>
      </pivotArea>
    </format>
    <format dxfId="48">
      <pivotArea dataOnly="0" labelOnly="1" outline="0" fieldPosition="0">
        <references count="2">
          <reference field="4294967294" count="2">
            <x v="0"/>
            <x v="2"/>
          </reference>
          <reference field="0" count="1" selected="0">
            <x v="4"/>
          </reference>
        </references>
      </pivotArea>
    </format>
    <format dxfId="49">
      <pivotArea dataOnly="0" labelOnly="1" outline="0" fieldPosition="0">
        <references count="2">
          <reference field="4294967294" count="2">
            <x v="0"/>
            <x v="2"/>
          </reference>
          <reference field="0" count="1" selected="0">
            <x v="5"/>
          </reference>
        </references>
      </pivotArea>
    </format>
    <format dxfId="50">
      <pivotArea dataOnly="0" labelOnly="1" outline="0" fieldPosition="0">
        <references count="2">
          <reference field="4294967294" count="2">
            <x v="0"/>
            <x v="2"/>
          </reference>
          <reference field="0" count="1" selected="0">
            <x v="6"/>
          </reference>
        </references>
      </pivotArea>
    </format>
    <format dxfId="51">
      <pivotArea dataOnly="0" labelOnly="1" outline="0" fieldPosition="0">
        <references count="2">
          <reference field="4294967294" count="2">
            <x v="0"/>
            <x v="2"/>
          </reference>
          <reference field="0" count="1" selected="0">
            <x v="7"/>
          </reference>
        </references>
      </pivotArea>
    </format>
    <format dxfId="52">
      <pivotArea dataOnly="0" labelOnly="1" outline="0" fieldPosition="0">
        <references count="2">
          <reference field="4294967294" count="2">
            <x v="0"/>
            <x v="2"/>
          </reference>
          <reference field="0" count="1" selected="0">
            <x v="8"/>
          </reference>
        </references>
      </pivotArea>
    </format>
    <format dxfId="53">
      <pivotArea dataOnly="0" labelOnly="1" grandCol="1" outline="0" axis="axisCol" fieldPosition="0"/>
    </format>
    <format dxfId="54">
      <pivotArea type="all" dataOnly="0" outline="0" fieldPosition="0"/>
    </format>
    <format dxfId="55">
      <pivotArea outline="0" collapsedLevelsAreSubtotals="1" fieldPosition="0"/>
    </format>
    <format dxfId="56">
      <pivotArea field="0" type="button" dataOnly="0" labelOnly="1" outline="0" axis="axisRow" fieldPosition="0"/>
    </format>
    <format dxfId="57">
      <pivotArea field="-2" type="button" dataOnly="0" labelOnly="1" outline="0" axis="axisRow" fieldPosition="1"/>
    </format>
    <format dxfId="58">
      <pivotArea dataOnly="0" labelOnly="1" outline="0" fieldPosition="0">
        <references count="1">
          <reference field="0" count="0"/>
        </references>
      </pivotArea>
    </format>
    <format dxfId="59">
      <pivotArea dataOnly="0" labelOnly="1" outline="0" fieldPosition="0">
        <references count="2">
          <reference field="4294967294" count="2">
            <x v="0"/>
            <x v="2"/>
          </reference>
          <reference field="0" count="1" selected="0">
            <x v="0"/>
          </reference>
        </references>
      </pivotArea>
    </format>
    <format dxfId="60">
      <pivotArea dataOnly="0" labelOnly="1" outline="0" fieldPosition="0">
        <references count="2">
          <reference field="4294967294" count="2">
            <x v="0"/>
            <x v="2"/>
          </reference>
          <reference field="0" count="1" selected="0">
            <x v="1"/>
          </reference>
        </references>
      </pivotArea>
    </format>
    <format dxfId="61">
      <pivotArea dataOnly="0" labelOnly="1" outline="0" fieldPosition="0">
        <references count="2">
          <reference field="4294967294" count="2">
            <x v="0"/>
            <x v="2"/>
          </reference>
          <reference field="0" count="1" selected="0">
            <x v="2"/>
          </reference>
        </references>
      </pivotArea>
    </format>
    <format dxfId="62">
      <pivotArea dataOnly="0" labelOnly="1" outline="0" fieldPosition="0">
        <references count="2">
          <reference field="4294967294" count="2">
            <x v="0"/>
            <x v="2"/>
          </reference>
          <reference field="0" count="1" selected="0">
            <x v="3"/>
          </reference>
        </references>
      </pivotArea>
    </format>
    <format dxfId="63">
      <pivotArea dataOnly="0" labelOnly="1" outline="0" fieldPosition="0">
        <references count="2">
          <reference field="4294967294" count="2">
            <x v="0"/>
            <x v="2"/>
          </reference>
          <reference field="0" count="1" selected="0">
            <x v="4"/>
          </reference>
        </references>
      </pivotArea>
    </format>
    <format dxfId="64">
      <pivotArea dataOnly="0" labelOnly="1" outline="0" fieldPosition="0">
        <references count="2">
          <reference field="4294967294" count="2">
            <x v="0"/>
            <x v="2"/>
          </reference>
          <reference field="0" count="1" selected="0">
            <x v="5"/>
          </reference>
        </references>
      </pivotArea>
    </format>
    <format dxfId="65">
      <pivotArea dataOnly="0" labelOnly="1" outline="0" fieldPosition="0">
        <references count="2">
          <reference field="4294967294" count="2">
            <x v="0"/>
            <x v="2"/>
          </reference>
          <reference field="0" count="1" selected="0">
            <x v="6"/>
          </reference>
        </references>
      </pivotArea>
    </format>
    <format dxfId="66">
      <pivotArea dataOnly="0" labelOnly="1" outline="0" fieldPosition="0">
        <references count="2">
          <reference field="4294967294" count="2">
            <x v="0"/>
            <x v="2"/>
          </reference>
          <reference field="0" count="1" selected="0">
            <x v="7"/>
          </reference>
        </references>
      </pivotArea>
    </format>
    <format dxfId="67">
      <pivotArea dataOnly="0" labelOnly="1" outline="0" fieldPosition="0">
        <references count="2">
          <reference field="4294967294" count="2">
            <x v="0"/>
            <x v="2"/>
          </reference>
          <reference field="0" count="1" selected="0">
            <x v="8"/>
          </reference>
        </references>
      </pivotArea>
    </format>
    <format dxfId="68">
      <pivotArea dataOnly="0" labelOnly="1" grandCol="1" outline="0" axis="axisCol" fieldPosition="0"/>
    </format>
    <format dxfId="69">
      <pivotArea field="0" type="button" dataOnly="0" labelOnly="1" outline="0" axis="axisRow" fieldPosition="0"/>
    </format>
    <format dxfId="70">
      <pivotArea field="-2" type="button" dataOnly="0" labelOnly="1" outline="0" axis="axisRow" fieldPosition="1"/>
    </format>
    <format dxfId="71">
      <pivotArea dataOnly="0" labelOnly="1" grandCol="1" outline="0" axis="axisCol" fieldPosition="0"/>
    </format>
    <format dxfId="72">
      <pivotArea field="0" type="button" dataOnly="0" labelOnly="1" outline="0" axis="axisRow" fieldPosition="0"/>
    </format>
    <format dxfId="73">
      <pivotArea field="-2" type="button" dataOnly="0" labelOnly="1" outline="0" axis="axisRow" fieldPosition="1"/>
    </format>
    <format dxfId="74">
      <pivotArea dataOnly="0" labelOnly="1" grandCol="1" outline="0" axis="axisCol" fieldPosition="0"/>
    </format>
    <format dxfId="75">
      <pivotArea field="0" type="button" dataOnly="0" labelOnly="1" outline="0" axis="axisRow" fieldPosition="0"/>
    </format>
    <format dxfId="76">
      <pivotArea field="-2" type="button" dataOnly="0" labelOnly="1" outline="0" axis="axisRow" fieldPosition="1"/>
    </format>
    <format dxfId="77">
      <pivotArea dataOnly="0" labelOnly="1" grandCol="1" outline="0" axis="axisCol" fieldPosition="0"/>
    </format>
  </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anies]"/>
        <x15:activeTabTopLevelEntity name="[Year]"/>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4BA2D40-8584-462A-AF19-7B0BCC3249F7}" autoFormatId="16" applyNumberFormats="0" applyBorderFormats="0" applyFontFormats="0" applyPatternFormats="0" applyAlignmentFormats="0" applyWidthHeightFormats="0">
  <queryTableRefresh nextId="7">
    <queryTableFields count="3">
      <queryTableField id="4" name="Ticker" tableColumnId="4"/>
      <queryTableField id="2" name="Year" tableColumnId="2"/>
      <queryTableField id="3" name="Revenu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87990FC-256C-4719-A760-B523A0AD9532}" autoFormatId="16" applyNumberFormats="0" applyBorderFormats="0" applyFontFormats="0" applyPatternFormats="0" applyAlignmentFormats="0" applyWidthHeightFormats="0">
  <queryTableRefresh nextId="4">
    <queryTableFields count="3">
      <queryTableField id="1" name="Ticker" tableColumnId="1"/>
      <queryTableField id="2" name="Attribute" tableColumnId="2"/>
      <queryTableField id="3" name="Valu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9A50D1B5-41B8-450D-9954-B15A0B007907}" sourceName="[Companies].[Company]">
  <pivotTables>
    <pivotTable tabId="10" name="PivotTable6"/>
  </pivotTables>
  <data>
    <olap pivotCacheId="1343686681">
      <levels count="2">
        <level uniqueName="[Companies].[Company].[(All)]" sourceCaption="(All)" count="0"/>
        <level uniqueName="[Companies].[Company].[Company]" sourceCaption="Company" count="9">
          <ranges>
            <range startItem="0">
              <i n="[Companies].[Company].&amp;[Alaska Air Group]" c="Alaska Air Group"/>
              <i n="[Companies].[Company].&amp;[Allegiant Travel]" c="Allegiant Travel"/>
              <i n="[Companies].[Company].&amp;[American Airlines]" c="American Airlines"/>
              <i n="[Companies].[Company].&amp;[Delta Air Lines]" c="Delta Air Lines"/>
              <i n="[Companies].[Company].&amp;[Frontier Group]" c="Frontier Group"/>
              <i n="[Companies].[Company].&amp;[JetBlue Airways]" c="JetBlue Airways"/>
              <i n="[Companies].[Company].&amp;[Southwest Airlines]" c="Southwest Airlines"/>
              <i n="[Companies].[Company].&amp;[Spirit Airlines]" c="Spirit Airlines"/>
              <i n="[Companies].[Company].&amp;[United Airlines]" c="United Airlines"/>
            </range>
          </ranges>
        </level>
      </levels>
      <selections count="1">
        <selection n="[Companies].[Company].[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3AF4F77-7460-4D0C-B958-F85ED06835A1}" sourceName="[Companies].[Segment]">
  <pivotTables>
    <pivotTable tabId="10" name="PivotTable6"/>
  </pivotTables>
  <data>
    <olap pivotCacheId="1343686681">
      <levels count="2">
        <level uniqueName="[Companies].[Segment].[(All)]" sourceCaption="(All)" count="0"/>
        <level uniqueName="[Companies].[Segment].[Segment]" sourceCaption="Segment" count="3">
          <ranges>
            <range startItem="0">
              <i n="[Companies].[Segment].&amp;[Low-Cost Carrier]" c="Low-Cost Carrier"/>
              <i n="[Companies].[Segment].&amp;[Network/Legacy]" c="Network/Legacy"/>
              <i n="[Companies].[Segment].&amp;[Ultra-Low-Cost]" c="Ultra-Low-Cost"/>
            </range>
          </ranges>
        </level>
      </levels>
      <selections count="1">
        <selection n="[Companies].[Segment].[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ED72A0-E2A2-43B4-8160-259465D8B592}" sourceName="[Year].[Year]">
  <pivotTables>
    <pivotTable tabId="10" name="PivotTable6"/>
  </pivotTables>
  <data>
    <olap pivotCacheId="1343686681">
      <levels count="2">
        <level uniqueName="[Year].[Year].[(All)]" sourceCaption="(All)" count="0"/>
        <level uniqueName="[Year].[Year].[Year]" sourceCaption="Year" count="5">
          <ranges>
            <range startItem="0">
              <i n="[Year].[Year].&amp;[2020]" c="2020"/>
              <i n="[Year].[Year].&amp;[2021]" c="2021"/>
              <i n="[Year].[Year].&amp;[2022]" c="2022"/>
              <i n="[Year].[Year].&amp;[2023]" c="2023"/>
              <i n="[Year].[Year].&amp;[2024]" c="2024"/>
            </range>
          </ranges>
        </level>
      </levels>
      <selections count="1">
        <selection n="[Year].[Year].[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4AD34279-46B8-4714-8AB4-BA3CE416F649}" cache="Slicer_Company" caption="Company" level="1" rowHeight="241300"/>
  <slicer name="Segment" xr10:uid="{CF12E7EF-9858-483C-A213-A72A5B3153A8}" cache="Slicer_Segment" caption="Segment" level="1" rowHeight="241300"/>
  <slicer name="Year" xr10:uid="{6DAA4445-9D58-4056-A851-3FDBFDB34A7C}" cache="Slicer_Year" caption="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8A1EF3-BDE5-4B6E-AF39-EE1307BA2FCB}" name="RevenueLong" displayName="RevenueLong" ref="A1:C46" tableType="queryTable" totalsRowShown="0">
  <autoFilter ref="A1:C46" xr:uid="{E48A1EF3-BDE5-4B6E-AF39-EE1307BA2FCB}"/>
  <tableColumns count="3">
    <tableColumn id="4" xr3:uid="{DED56F2A-D7D7-42A2-8405-A67382964E03}" uniqueName="4" name="Ticker" queryTableFieldId="4" dataDxfId="81"/>
    <tableColumn id="2" xr3:uid="{1ACCBCFB-4FA7-4484-A2DE-D05FEA5E9B1B}" uniqueName="2" name="Year" queryTableFieldId="2"/>
    <tableColumn id="3" xr3:uid="{F203968D-AD9E-4D69-BF0D-F9B459361460}" uniqueName="3" name="Revenue"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9AD5CB-CFC9-4587-B1C9-60B48AB2CA11}" name="Table7" displayName="Table7" ref="A1:F16" totalsRowShown="0">
  <autoFilter ref="A1:F16" xr:uid="{079AD5CB-CFC9-4587-B1C9-60B48AB2CA11}"/>
  <tableColumns count="6">
    <tableColumn id="1" xr3:uid="{97569F5E-65A2-4141-82C4-A595A35CF05A}" name="Column1"/>
    <tableColumn id="2" xr3:uid="{08908153-E7AE-479C-8C8D-5E5BCFB1E2AB}" name="Column2"/>
    <tableColumn id="3" xr3:uid="{199D9E30-D660-443B-A025-CB8FD4EF7E19}" name="Column3"/>
    <tableColumn id="4" xr3:uid="{F4DB596D-6A1A-47F3-8D62-2A282BA12808}" name="Column4"/>
    <tableColumn id="5" xr3:uid="{100AB6AD-95EF-4FD6-8FA9-4301AC14AE28}" name="Column5"/>
    <tableColumn id="6" xr3:uid="{62601861-D377-4F6D-A9A3-DF2B559C6A08}" name="Column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14E1B3-8010-4829-8EB4-0D0692FFE11D}" name="NetIncomeLong" displayName="NetIncomeLong" ref="A1:C46" tableType="queryTable" totalsRowShown="0">
  <autoFilter ref="A1:C46" xr:uid="{9314E1B3-8010-4829-8EB4-0D0692FFE11D}"/>
  <tableColumns count="3">
    <tableColumn id="1" xr3:uid="{FDCE6C88-58B2-47AA-B202-9D5771695701}" uniqueName="1" name="Ticker" queryTableFieldId="1" dataDxfId="80"/>
    <tableColumn id="2" xr3:uid="{316673F7-B1C1-4889-B309-8422F448F357}" uniqueName="2" name="Attribute" queryTableFieldId="2"/>
    <tableColumn id="3" xr3:uid="{03E05946-43F1-40F6-AE63-1D0BA441AF1D}" uniqueName="3" name="Valu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8DDFAD-14BE-46F1-8AE7-1291276EA2B6}" name="Table5" displayName="Table5" ref="A1:F13" totalsRowShown="0">
  <autoFilter ref="A1:F13" xr:uid="{0A8DDFAD-14BE-46F1-8AE7-1291276EA2B6}"/>
  <tableColumns count="6">
    <tableColumn id="1" xr3:uid="{9E8CC543-992B-4B04-960B-80FB952D8ED4}" name="Column1"/>
    <tableColumn id="2" xr3:uid="{C6917997-2B19-4DA8-8DDA-4CA28DC37DB2}" name="Column2"/>
    <tableColumn id="3" xr3:uid="{E0DC1BD1-4539-4E4D-868A-4CEF5DB21810}" name="Column3"/>
    <tableColumn id="4" xr3:uid="{B44DC85B-C014-4A24-AA8E-C9E28AAB89E6}" name="Column4"/>
    <tableColumn id="5" xr3:uid="{188EA44F-38AF-48E0-AB36-7D19E15469A4}" name="Column5"/>
    <tableColumn id="6" xr3:uid="{4DFF4F18-C094-480E-A46E-28A429BB83F6}" name="Column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62C8E4-366B-4F4E-A1FF-A8C5DF86AAE5}" name="Table4" displayName="Table4" ref="A1:B10" totalsRowShown="0" headerRowDxfId="79">
  <autoFilter ref="A1:B10" xr:uid="{EC62C8E4-366B-4F4E-A1FF-A8C5DF86AAE5}"/>
  <tableColumns count="2">
    <tableColumn id="1" xr3:uid="{17A20B06-EC2B-40A8-8016-784B9200079F}" name="Raw Name"/>
    <tableColumn id="2" xr3:uid="{49EA63F8-8485-4555-AF10-157B75A42CD0}" name="Ticke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A111E20-D73E-4AB9-8D36-EE2CDEEB2690}" name="Table9" displayName="Table9" ref="A1:E10" totalsRowShown="0" headerRowDxfId="78">
  <autoFilter ref="A1:E10" xr:uid="{2A111E20-D73E-4AB9-8D36-EE2CDEEB2690}"/>
  <tableColumns count="5">
    <tableColumn id="1" xr3:uid="{C03A6FDA-1E84-4AF0-8F15-5F6888EE9BDD}" name="Ticker"/>
    <tableColumn id="2" xr3:uid="{355B406F-0D73-4BF8-A4B0-A6A6C08701F8}" name="Company"/>
    <tableColumn id="3" xr3:uid="{A308E409-FA9C-426F-9AB2-5579D5FA3149}" name="Segment"/>
    <tableColumn id="4" xr3:uid="{3B302145-7B32-4C15-BA14-4D888E8E1F41}" name="Country"/>
    <tableColumn id="5" xr3:uid="{12C6ACFF-78A7-4147-B914-3544F62EA4B5}" name="FY En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1F06FA-F030-496D-8BC3-32573CD31703}">
  <we:reference id="wa200009404" version="1.0.0.8" store="en-GB" storeType="OMEX"/>
  <we:alternateReferences>
    <we:reference id="wa200009404" version="1.0.0.8" store="wa200009404" storeType="OMEX"/>
  </we:alternateReferences>
  <we:properties>
    <we:property name="claude.fileId" value="&quot;4309a2e0-ee23-4b50-b28b-7e537be961e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0FEE-1AA7-4F70-AD49-0433EDBAB745}">
  <sheetPr>
    <tabColor rgb="FF1F3864"/>
  </sheetPr>
  <dimension ref="A1:H33"/>
  <sheetViews>
    <sheetView showGridLines="0" zoomScale="63" workbookViewId="0">
      <selection activeCell="A35" sqref="A35"/>
    </sheetView>
  </sheetViews>
  <sheetFormatPr defaultRowHeight="14.5" x14ac:dyDescent="0.35"/>
  <cols>
    <col min="1" max="1" width="41.81640625" customWidth="1"/>
    <col min="2" max="3" width="19.08984375" customWidth="1"/>
    <col min="4" max="4" width="3.26953125" customWidth="1"/>
    <col min="5" max="8" width="17.26953125" customWidth="1"/>
  </cols>
  <sheetData>
    <row r="1" spans="1:8" ht="30" customHeight="1" x14ac:dyDescent="0.55000000000000004">
      <c r="A1" s="48" t="s">
        <v>114</v>
      </c>
      <c r="B1" s="27"/>
      <c r="C1" s="27"/>
      <c r="D1" s="27"/>
      <c r="E1" s="27"/>
      <c r="F1" s="27"/>
      <c r="G1" s="27"/>
      <c r="H1" s="27"/>
    </row>
    <row r="2" spans="1:8" ht="20" customHeight="1" x14ac:dyDescent="0.35">
      <c r="A2" s="49" t="s">
        <v>115</v>
      </c>
      <c r="B2" s="28"/>
      <c r="C2" s="28"/>
      <c r="D2" s="28"/>
      <c r="E2" s="28"/>
      <c r="F2" s="28"/>
      <c r="G2" s="28"/>
      <c r="H2" s="28"/>
    </row>
    <row r="3" spans="1:8" x14ac:dyDescent="0.35">
      <c r="A3" s="4"/>
      <c r="B3" s="4"/>
      <c r="C3" s="4"/>
      <c r="D3" s="4"/>
      <c r="E3" s="4"/>
      <c r="F3" s="4"/>
      <c r="G3" s="4"/>
      <c r="H3" s="4"/>
    </row>
    <row r="4" spans="1:8" ht="16" thickBot="1" x14ac:dyDescent="0.4">
      <c r="A4" s="33" t="s">
        <v>116</v>
      </c>
      <c r="B4" s="33"/>
      <c r="C4" s="33"/>
      <c r="D4" s="33"/>
      <c r="E4" s="33"/>
      <c r="F4" s="33"/>
      <c r="G4" s="33"/>
      <c r="H4" s="33"/>
    </row>
    <row r="5" spans="1:8" ht="70" customHeight="1" x14ac:dyDescent="0.35">
      <c r="A5" s="31" t="s">
        <v>135</v>
      </c>
      <c r="B5" s="29"/>
      <c r="C5" s="29"/>
      <c r="D5" s="29"/>
      <c r="E5" s="29"/>
      <c r="F5" s="29"/>
      <c r="G5" s="29"/>
      <c r="H5" s="29"/>
    </row>
    <row r="6" spans="1:8" x14ac:dyDescent="0.35">
      <c r="A6" s="4"/>
      <c r="B6" s="4"/>
      <c r="C6" s="4"/>
      <c r="D6" s="4"/>
      <c r="E6" s="4"/>
      <c r="F6" s="4"/>
      <c r="G6" s="4"/>
      <c r="H6" s="4"/>
    </row>
    <row r="7" spans="1:8" ht="15.5" x14ac:dyDescent="0.35">
      <c r="A7" s="35" t="s">
        <v>117</v>
      </c>
      <c r="B7" s="35"/>
      <c r="C7" s="35"/>
      <c r="D7" s="35"/>
      <c r="E7" s="35"/>
      <c r="F7" s="35"/>
      <c r="G7" s="35"/>
      <c r="H7" s="35"/>
    </row>
    <row r="8" spans="1:8" x14ac:dyDescent="0.35">
      <c r="A8" s="56" t="s">
        <v>118</v>
      </c>
      <c r="B8" s="57">
        <f>COUNTA(CompanyMaster!A2:A10)</f>
        <v>9</v>
      </c>
      <c r="C8" s="4"/>
      <c r="D8" s="4"/>
      <c r="E8" s="4"/>
      <c r="F8" s="4"/>
      <c r="G8" s="4"/>
      <c r="H8" s="4"/>
    </row>
    <row r="9" spans="1:8" x14ac:dyDescent="0.35">
      <c r="A9" s="56" t="s">
        <v>119</v>
      </c>
      <c r="B9" s="57" cm="1">
        <f t="array" ref="B9">SUMPRODUCT(1/COUNTIF(CompanyMaster!C2:C10,CompanyMaster!C2:C10))</f>
        <v>3.0000000000000004</v>
      </c>
      <c r="C9" s="4"/>
      <c r="D9" s="4"/>
      <c r="E9" s="4"/>
      <c r="F9" s="4"/>
      <c r="G9" s="4"/>
      <c r="H9" s="4"/>
    </row>
    <row r="10" spans="1:8" x14ac:dyDescent="0.35">
      <c r="A10" s="37" t="s">
        <v>120</v>
      </c>
      <c r="B10" s="38">
        <f>MAX(RevenueLong[Year])-MIN(RevenueLong[Year])+1</f>
        <v>5</v>
      </c>
      <c r="C10" s="4"/>
      <c r="D10" s="4"/>
      <c r="E10" s="4"/>
      <c r="F10" s="4"/>
      <c r="G10" s="4"/>
      <c r="H10" s="4"/>
    </row>
    <row r="11" spans="1:8" x14ac:dyDescent="0.35">
      <c r="A11" s="37" t="s">
        <v>121</v>
      </c>
      <c r="B11" s="50">
        <f>SUMIFS(RevenueLong[Revenue],RevenueLong[Year],2020)</f>
        <v>69408</v>
      </c>
      <c r="C11" s="4"/>
      <c r="D11" s="4"/>
      <c r="E11" s="4"/>
      <c r="F11" s="4"/>
      <c r="G11" s="4"/>
      <c r="H11" s="4"/>
    </row>
    <row r="12" spans="1:8" x14ac:dyDescent="0.35">
      <c r="A12" s="37" t="s">
        <v>122</v>
      </c>
      <c r="B12" s="50">
        <f>SUMIFS(RevenueLong[Revenue],RevenueLong[Year],2024)</f>
        <v>232613</v>
      </c>
      <c r="C12" s="4"/>
      <c r="D12" s="4"/>
      <c r="E12" s="4"/>
      <c r="F12" s="4"/>
      <c r="G12" s="4"/>
      <c r="H12" s="4"/>
    </row>
    <row r="13" spans="1:8" x14ac:dyDescent="0.35">
      <c r="A13" s="37" t="s">
        <v>123</v>
      </c>
      <c r="B13" s="39">
        <f>B12/B11-1</f>
        <v>2.3513860073766715</v>
      </c>
      <c r="C13" s="4"/>
      <c r="D13" s="4"/>
      <c r="E13" s="4"/>
      <c r="F13" s="4"/>
      <c r="G13" s="4"/>
      <c r="H13" s="4"/>
    </row>
    <row r="14" spans="1:8" x14ac:dyDescent="0.35">
      <c r="A14" s="37" t="s">
        <v>124</v>
      </c>
      <c r="B14" s="51">
        <f>SUM(NetIncomeLong[Value])</f>
        <v>-21609</v>
      </c>
      <c r="C14" s="4"/>
      <c r="D14" s="4"/>
      <c r="E14" s="4"/>
      <c r="F14" s="4"/>
      <c r="G14" s="4"/>
      <c r="H14" s="4"/>
    </row>
    <row r="15" spans="1:8" x14ac:dyDescent="0.35">
      <c r="A15" s="40" t="s">
        <v>125</v>
      </c>
      <c r="B15" s="41" t="str">
        <f>COUNTIF(Dashboard!K30:K56,"&lt;0")&amp;" of "&amp;COUNTA(CompanyMaster!A2:A10)</f>
        <v>9 of 9</v>
      </c>
      <c r="C15" s="4"/>
      <c r="D15" s="4"/>
      <c r="E15" s="4"/>
      <c r="F15" s="4"/>
      <c r="G15" s="4"/>
      <c r="H15" s="4"/>
    </row>
    <row r="16" spans="1:8" x14ac:dyDescent="0.35">
      <c r="A16" s="4"/>
      <c r="B16" s="4"/>
      <c r="C16" s="4"/>
      <c r="D16" s="4"/>
      <c r="E16" s="4"/>
      <c r="F16" s="4"/>
      <c r="G16" s="4"/>
      <c r="H16" s="4"/>
    </row>
    <row r="17" spans="1:8" x14ac:dyDescent="0.35">
      <c r="A17" s="26" t="s">
        <v>131</v>
      </c>
      <c r="B17" s="25" t="s">
        <v>126</v>
      </c>
      <c r="C17" s="25" t="s">
        <v>127</v>
      </c>
      <c r="D17" s="4"/>
      <c r="E17" s="4"/>
      <c r="F17" s="4"/>
      <c r="G17" s="4"/>
      <c r="H17" s="4"/>
    </row>
    <row r="18" spans="1:8" x14ac:dyDescent="0.35">
      <c r="A18" s="36" t="s">
        <v>132</v>
      </c>
      <c r="B18" s="52" cm="1">
        <f t="array" ref="B18">SUMPRODUCT(RevenueLong[Revenue]*ISNUMBER(MATCH(RevenueLong[Ticker],{"DAL","UAL","AAL","ALK"},0)))</f>
        <v>657728</v>
      </c>
      <c r="C18" s="42">
        <f>B18/$B$21</f>
        <v>0.78169367279365454</v>
      </c>
      <c r="D18" s="4"/>
      <c r="E18" s="4"/>
      <c r="F18" s="4"/>
      <c r="G18" s="4"/>
      <c r="H18" s="4"/>
    </row>
    <row r="19" spans="1:8" x14ac:dyDescent="0.35">
      <c r="A19" s="37" t="s">
        <v>133</v>
      </c>
      <c r="B19" s="53" cm="1">
        <f t="array" ref="B19">SUMPRODUCT(RevenueLong[Revenue]*ISNUMBER(MATCH(RevenueLong[Ticker],{"LUV","JBLU"},0)))</f>
        <v>139270</v>
      </c>
      <c r="C19" s="43">
        <f>B19/$B$21</f>
        <v>0.16551899540535336</v>
      </c>
      <c r="D19" s="4"/>
      <c r="E19" s="4"/>
      <c r="F19" s="4"/>
      <c r="G19" s="4"/>
      <c r="H19" s="4"/>
    </row>
    <row r="20" spans="1:8" ht="15" thickBot="1" x14ac:dyDescent="0.4">
      <c r="A20" s="44" t="s">
        <v>134</v>
      </c>
      <c r="B20" s="54" cm="1">
        <f t="array" ref="B20">SUMPRODUCT(RevenueLong[Revenue]*ISNUMBER(MATCH(RevenueLong[Ticker],{"SAVE","ULCC","ALGT"},0)))</f>
        <v>44416</v>
      </c>
      <c r="C20" s="45">
        <f>B20/$B$21</f>
        <v>5.2787331800992141E-2</v>
      </c>
      <c r="D20" s="4"/>
      <c r="E20" s="4"/>
      <c r="F20" s="4"/>
      <c r="G20" s="4"/>
      <c r="H20" s="4"/>
    </row>
    <row r="21" spans="1:8" x14ac:dyDescent="0.35">
      <c r="A21" s="46" t="s">
        <v>128</v>
      </c>
      <c r="B21" s="55">
        <f>SUM(B18:B20)</f>
        <v>841414</v>
      </c>
      <c r="C21" s="47">
        <f>B21/$B$21</f>
        <v>1</v>
      </c>
      <c r="D21" s="4"/>
      <c r="E21" s="4"/>
      <c r="F21" s="4"/>
      <c r="G21" s="4"/>
      <c r="H21" s="4"/>
    </row>
    <row r="22" spans="1:8" x14ac:dyDescent="0.35">
      <c r="A22" s="4"/>
      <c r="B22" s="4"/>
      <c r="C22" s="4"/>
      <c r="D22" s="4"/>
      <c r="E22" s="4"/>
      <c r="F22" s="4"/>
      <c r="G22" s="4"/>
      <c r="H22" s="4"/>
    </row>
    <row r="23" spans="1:8" ht="16" thickBot="1" x14ac:dyDescent="0.4">
      <c r="A23" s="33" t="s">
        <v>129</v>
      </c>
      <c r="B23" s="33"/>
      <c r="C23" s="33"/>
      <c r="D23" s="33"/>
      <c r="E23" s="33"/>
      <c r="F23" s="33"/>
      <c r="G23" s="33"/>
      <c r="H23" s="33"/>
    </row>
    <row r="24" spans="1:8" ht="18" customHeight="1" x14ac:dyDescent="0.35">
      <c r="A24" s="32" t="s">
        <v>138</v>
      </c>
      <c r="B24" s="30"/>
      <c r="C24" s="30"/>
      <c r="D24" s="30"/>
      <c r="E24" s="30"/>
      <c r="F24" s="30"/>
      <c r="G24" s="30"/>
      <c r="H24" s="30"/>
    </row>
    <row r="25" spans="1:8" ht="18" customHeight="1" x14ac:dyDescent="0.35">
      <c r="A25" s="32" t="s">
        <v>140</v>
      </c>
      <c r="B25" s="30"/>
      <c r="C25" s="30"/>
      <c r="D25" s="30"/>
      <c r="E25" s="30"/>
      <c r="F25" s="30"/>
      <c r="G25" s="30"/>
      <c r="H25" s="30"/>
    </row>
    <row r="26" spans="1:8" ht="18" customHeight="1" x14ac:dyDescent="0.35">
      <c r="A26" s="32" t="s">
        <v>136</v>
      </c>
      <c r="B26" s="30"/>
      <c r="C26" s="30"/>
      <c r="D26" s="30"/>
      <c r="E26" s="30"/>
      <c r="F26" s="30"/>
      <c r="G26" s="30"/>
      <c r="H26" s="30"/>
    </row>
    <row r="27" spans="1:8" ht="18" customHeight="1" x14ac:dyDescent="0.35">
      <c r="A27" s="32" t="s">
        <v>137</v>
      </c>
      <c r="B27" s="30"/>
      <c r="C27" s="30"/>
      <c r="D27" s="30"/>
      <c r="E27" s="30"/>
      <c r="F27" s="30"/>
      <c r="G27" s="30"/>
      <c r="H27" s="30"/>
    </row>
    <row r="28" spans="1:8" ht="18" customHeight="1" x14ac:dyDescent="0.35">
      <c r="A28" s="32" t="s">
        <v>141</v>
      </c>
      <c r="B28" s="30"/>
      <c r="C28" s="30"/>
      <c r="D28" s="30"/>
      <c r="E28" s="30"/>
      <c r="F28" s="30"/>
      <c r="G28" s="30"/>
      <c r="H28" s="30"/>
    </row>
    <row r="29" spans="1:8" x14ac:dyDescent="0.35">
      <c r="A29" s="4"/>
      <c r="B29" s="4"/>
      <c r="C29" s="4"/>
      <c r="D29" s="4"/>
      <c r="E29" s="4"/>
      <c r="F29" s="4"/>
      <c r="G29" s="4"/>
      <c r="H29" s="4"/>
    </row>
    <row r="30" spans="1:8" ht="16" thickBot="1" x14ac:dyDescent="0.4">
      <c r="A30" s="34" t="s">
        <v>130</v>
      </c>
      <c r="B30" s="34"/>
      <c r="C30" s="34"/>
      <c r="D30" s="34"/>
      <c r="E30" s="34"/>
      <c r="F30" s="34"/>
      <c r="G30" s="34"/>
      <c r="H30" s="34"/>
    </row>
    <row r="31" spans="1:8" ht="34" customHeight="1" x14ac:dyDescent="0.35">
      <c r="A31" s="32" t="s">
        <v>139</v>
      </c>
      <c r="B31" s="30"/>
      <c r="C31" s="30"/>
      <c r="D31" s="30"/>
      <c r="E31" s="30"/>
      <c r="F31" s="30"/>
      <c r="G31" s="30"/>
      <c r="H31" s="30"/>
    </row>
    <row r="32" spans="1:8" x14ac:dyDescent="0.35">
      <c r="A32" s="4"/>
      <c r="B32" s="4"/>
      <c r="C32" s="4"/>
      <c r="D32" s="4"/>
      <c r="E32" s="4"/>
      <c r="F32" s="4"/>
      <c r="G32" s="4"/>
      <c r="H32" s="4"/>
    </row>
    <row r="33" spans="1:8" x14ac:dyDescent="0.35">
      <c r="A33" s="4"/>
      <c r="B33" s="4"/>
      <c r="C33" s="4"/>
      <c r="D33" s="4"/>
      <c r="E33" s="4"/>
      <c r="F33" s="4"/>
      <c r="G33" s="4"/>
      <c r="H33" s="4"/>
    </row>
  </sheetData>
  <mergeCells count="13">
    <mergeCell ref="A30:H30"/>
    <mergeCell ref="A31:H31"/>
    <mergeCell ref="A24:H24"/>
    <mergeCell ref="A25:H25"/>
    <mergeCell ref="A26:H26"/>
    <mergeCell ref="A27:H27"/>
    <mergeCell ref="A28:H28"/>
    <mergeCell ref="A1:H1"/>
    <mergeCell ref="A2:H2"/>
    <mergeCell ref="A4:H4"/>
    <mergeCell ref="A5:H5"/>
    <mergeCell ref="A7:H7"/>
    <mergeCell ref="A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7983-F4ED-47A9-AAF7-39937D77E259}">
  <dimension ref="A1:R58"/>
  <sheetViews>
    <sheetView showGridLines="0" tabSelected="1" zoomScale="78" zoomScaleNormal="80" workbookViewId="0">
      <selection activeCell="I37" sqref="I37"/>
    </sheetView>
  </sheetViews>
  <sheetFormatPr defaultRowHeight="14.5" x14ac:dyDescent="0.35"/>
  <cols>
    <col min="1" max="1" width="14.7265625" bestFit="1" customWidth="1"/>
    <col min="2" max="2" width="10.81640625" bestFit="1" customWidth="1"/>
    <col min="9" max="9" width="16.26953125" bestFit="1" customWidth="1"/>
    <col min="10" max="10" width="17.6328125" bestFit="1" customWidth="1"/>
    <col min="11" max="11" width="11.36328125" bestFit="1" customWidth="1"/>
    <col min="12" max="17" width="10.90625" bestFit="1" customWidth="1"/>
    <col min="18" max="27" width="17.6328125" bestFit="1" customWidth="1"/>
    <col min="28" max="28" width="17.26953125" bestFit="1" customWidth="1"/>
    <col min="29" max="29" width="17" bestFit="1" customWidth="1"/>
    <col min="30" max="30" width="22.453125" bestFit="1" customWidth="1"/>
  </cols>
  <sheetData>
    <row r="1" spans="1:18" ht="42" customHeight="1" x14ac:dyDescent="0.35">
      <c r="A1" s="22" t="s">
        <v>112</v>
      </c>
      <c r="B1" s="23"/>
      <c r="C1" s="23"/>
      <c r="D1" s="23"/>
      <c r="E1" s="23"/>
      <c r="F1" s="23"/>
      <c r="G1" s="23"/>
      <c r="H1" s="23"/>
      <c r="I1" s="23"/>
      <c r="J1" s="23"/>
      <c r="K1" s="24" t="s">
        <v>113</v>
      </c>
      <c r="L1" s="23"/>
      <c r="M1" s="23"/>
      <c r="N1" s="23"/>
      <c r="O1" s="23"/>
      <c r="P1" s="23"/>
      <c r="Q1" s="23"/>
      <c r="R1" s="23"/>
    </row>
    <row r="2" spans="1:18" x14ac:dyDescent="0.35">
      <c r="A2" s="4"/>
      <c r="B2" s="4"/>
      <c r="C2" s="4"/>
      <c r="D2" s="4"/>
      <c r="E2" s="4"/>
      <c r="F2" s="4"/>
      <c r="G2" s="4"/>
      <c r="H2" s="4"/>
      <c r="I2" s="4"/>
      <c r="J2" s="4"/>
      <c r="K2" s="4"/>
      <c r="L2" s="4"/>
      <c r="M2" s="4"/>
      <c r="N2" s="4"/>
      <c r="O2" s="4"/>
      <c r="P2" s="4"/>
      <c r="Q2" s="4"/>
      <c r="R2" s="4"/>
    </row>
    <row r="3" spans="1:18" ht="15.5" x14ac:dyDescent="0.35">
      <c r="A3" s="6" t="s">
        <v>108</v>
      </c>
      <c r="B3" s="5"/>
      <c r="C3" s="4"/>
      <c r="D3" s="4"/>
      <c r="E3" s="4"/>
      <c r="F3" s="4"/>
      <c r="G3" s="4"/>
      <c r="H3" s="4"/>
      <c r="I3" s="6" t="s">
        <v>110</v>
      </c>
      <c r="J3" s="4"/>
      <c r="K3" s="4"/>
      <c r="L3" s="4"/>
      <c r="M3" s="4"/>
      <c r="N3" s="4"/>
      <c r="O3" s="4"/>
      <c r="P3" s="4"/>
      <c r="Q3" s="4"/>
      <c r="R3" s="4"/>
    </row>
    <row r="4" spans="1:18" x14ac:dyDescent="0.35">
      <c r="A4" s="4"/>
      <c r="B4" s="4"/>
      <c r="C4" s="4"/>
      <c r="D4" s="4"/>
      <c r="E4" s="4"/>
      <c r="F4" s="4"/>
      <c r="G4" s="4"/>
      <c r="H4" s="4"/>
      <c r="I4" s="4"/>
      <c r="J4" s="4"/>
      <c r="K4" s="4"/>
      <c r="L4" s="4"/>
      <c r="M4" s="4"/>
      <c r="N4" s="4"/>
      <c r="O4" s="4"/>
      <c r="P4" s="4"/>
      <c r="Q4" s="4"/>
      <c r="R4" s="4"/>
    </row>
    <row r="5" spans="1:18" x14ac:dyDescent="0.35">
      <c r="A5" s="4"/>
      <c r="B5" s="4"/>
      <c r="C5" s="4"/>
      <c r="D5" s="4"/>
      <c r="E5" s="4"/>
      <c r="F5" s="4"/>
      <c r="G5" s="4"/>
      <c r="H5" s="4"/>
      <c r="I5" s="4"/>
      <c r="J5" s="4"/>
      <c r="K5" s="4"/>
      <c r="L5" s="4"/>
      <c r="M5" s="4"/>
      <c r="N5" s="4"/>
      <c r="O5" s="4"/>
      <c r="P5" s="4"/>
      <c r="Q5" s="4"/>
      <c r="R5" s="4"/>
    </row>
    <row r="6" spans="1:18" x14ac:dyDescent="0.35">
      <c r="A6" s="4"/>
      <c r="B6" s="4"/>
      <c r="C6" s="4"/>
      <c r="D6" s="4"/>
      <c r="E6" s="4"/>
      <c r="F6" s="4"/>
      <c r="G6" s="4"/>
      <c r="H6" s="4"/>
      <c r="I6" s="4"/>
      <c r="J6" s="4"/>
      <c r="K6" s="4"/>
      <c r="L6" s="4"/>
      <c r="M6" s="4"/>
      <c r="N6" s="4"/>
      <c r="O6" s="4"/>
      <c r="P6" s="4"/>
      <c r="Q6" s="4"/>
      <c r="R6" s="4"/>
    </row>
    <row r="7" spans="1:18" x14ac:dyDescent="0.35">
      <c r="A7" s="4"/>
      <c r="B7" s="4"/>
      <c r="C7" s="4"/>
      <c r="D7" s="4"/>
      <c r="E7" s="4"/>
      <c r="F7" s="4"/>
      <c r="G7" s="4"/>
      <c r="H7" s="4"/>
      <c r="I7" s="4"/>
      <c r="J7" s="4"/>
      <c r="K7" s="4"/>
      <c r="L7" s="4"/>
      <c r="M7" s="4"/>
      <c r="N7" s="4"/>
      <c r="O7" s="4"/>
      <c r="P7" s="4"/>
      <c r="Q7" s="4"/>
      <c r="R7" s="4"/>
    </row>
    <row r="8" spans="1:18" x14ac:dyDescent="0.35">
      <c r="A8" s="4"/>
      <c r="B8" s="4"/>
      <c r="C8" s="4"/>
      <c r="D8" s="4"/>
      <c r="E8" s="4"/>
      <c r="F8" s="4"/>
      <c r="G8" s="4"/>
      <c r="H8" s="4"/>
      <c r="I8" s="4"/>
      <c r="J8" s="4"/>
      <c r="K8" s="4"/>
      <c r="L8" s="4"/>
      <c r="M8" s="4"/>
      <c r="N8" s="4"/>
      <c r="O8" s="4"/>
      <c r="P8" s="4"/>
      <c r="Q8" s="4"/>
      <c r="R8" s="4"/>
    </row>
    <row r="9" spans="1:18" x14ac:dyDescent="0.35">
      <c r="A9" s="4"/>
      <c r="B9" s="4"/>
      <c r="C9" s="4"/>
      <c r="D9" s="4"/>
      <c r="E9" s="4"/>
      <c r="F9" s="4"/>
      <c r="G9" s="4"/>
      <c r="H9" s="4"/>
      <c r="I9" s="4"/>
      <c r="J9" s="4"/>
      <c r="K9" s="4"/>
      <c r="L9" s="4"/>
      <c r="M9" s="4"/>
      <c r="N9" s="4"/>
      <c r="O9" s="4"/>
      <c r="P9" s="4"/>
      <c r="Q9" s="4"/>
      <c r="R9" s="4"/>
    </row>
    <row r="10" spans="1:18" x14ac:dyDescent="0.35">
      <c r="A10" s="4"/>
      <c r="B10" s="4"/>
      <c r="C10" s="4"/>
      <c r="D10" s="4"/>
      <c r="E10" s="4"/>
      <c r="F10" s="4"/>
      <c r="G10" s="4"/>
      <c r="H10" s="4"/>
      <c r="I10" s="4"/>
      <c r="J10" s="4"/>
      <c r="K10" s="4"/>
      <c r="L10" s="4"/>
      <c r="M10" s="4"/>
      <c r="N10" s="4"/>
      <c r="O10" s="4"/>
      <c r="P10" s="4"/>
      <c r="Q10" s="4"/>
      <c r="R10" s="4"/>
    </row>
    <row r="11" spans="1:18" x14ac:dyDescent="0.35">
      <c r="A11" s="4"/>
      <c r="B11" s="4"/>
      <c r="C11" s="4"/>
      <c r="D11" s="4"/>
      <c r="E11" s="4"/>
      <c r="F11" s="4"/>
      <c r="G11" s="4"/>
      <c r="H11" s="4"/>
      <c r="I11" s="4"/>
      <c r="J11" s="4"/>
      <c r="K11" s="4"/>
      <c r="L11" s="4"/>
      <c r="M11" s="4"/>
      <c r="N11" s="4"/>
      <c r="O11" s="4"/>
      <c r="P11" s="4"/>
      <c r="Q11" s="4"/>
      <c r="R11" s="4"/>
    </row>
    <row r="12" spans="1:18" x14ac:dyDescent="0.35">
      <c r="A12" s="4"/>
      <c r="B12" s="4"/>
      <c r="C12" s="4"/>
      <c r="D12" s="4"/>
      <c r="E12" s="4"/>
      <c r="F12" s="4"/>
      <c r="G12" s="4"/>
      <c r="H12" s="4"/>
      <c r="I12" s="4"/>
      <c r="J12" s="4"/>
      <c r="K12" s="4"/>
      <c r="L12" s="4"/>
      <c r="M12" s="4"/>
      <c r="N12" s="4"/>
      <c r="O12" s="4"/>
      <c r="P12" s="4"/>
      <c r="Q12" s="4"/>
      <c r="R12" s="4"/>
    </row>
    <row r="13" spans="1:18" x14ac:dyDescent="0.35">
      <c r="A13" s="4"/>
      <c r="B13" s="4"/>
      <c r="C13" s="4"/>
      <c r="D13" s="4"/>
      <c r="E13" s="4"/>
      <c r="F13" s="4"/>
      <c r="G13" s="4"/>
      <c r="H13" s="4"/>
      <c r="I13" s="4"/>
      <c r="J13" s="4"/>
      <c r="K13" s="4"/>
      <c r="L13" s="4"/>
      <c r="M13" s="4"/>
      <c r="N13" s="4"/>
      <c r="O13" s="4"/>
      <c r="P13" s="4"/>
      <c r="Q13" s="4"/>
      <c r="R13" s="4"/>
    </row>
    <row r="14" spans="1:18" x14ac:dyDescent="0.35">
      <c r="A14" s="4"/>
      <c r="B14" s="4"/>
      <c r="C14" s="4"/>
      <c r="D14" s="4"/>
      <c r="E14" s="4"/>
      <c r="F14" s="4"/>
      <c r="G14" s="4"/>
      <c r="H14" s="4"/>
      <c r="I14" s="4"/>
      <c r="J14" s="4"/>
      <c r="K14" s="4"/>
      <c r="L14" s="4"/>
      <c r="M14" s="4"/>
      <c r="N14" s="4"/>
      <c r="O14" s="4"/>
      <c r="P14" s="4"/>
      <c r="Q14" s="4"/>
      <c r="R14" s="4"/>
    </row>
    <row r="15" spans="1:18" x14ac:dyDescent="0.35">
      <c r="A15" s="4"/>
      <c r="B15" s="4"/>
      <c r="C15" s="4"/>
      <c r="D15" s="4"/>
      <c r="E15" s="4"/>
      <c r="F15" s="4"/>
      <c r="G15" s="4"/>
      <c r="H15" s="4"/>
      <c r="I15" s="4"/>
      <c r="J15" s="4"/>
      <c r="K15" s="4"/>
      <c r="L15" s="4"/>
      <c r="M15" s="4"/>
      <c r="N15" s="4"/>
      <c r="O15" s="4"/>
      <c r="P15" s="4"/>
      <c r="Q15" s="4"/>
      <c r="R15" s="4"/>
    </row>
    <row r="16" spans="1:18" x14ac:dyDescent="0.35">
      <c r="A16" s="4"/>
      <c r="B16" s="4"/>
      <c r="C16" s="4"/>
      <c r="D16" s="4"/>
      <c r="E16" s="4"/>
      <c r="F16" s="4"/>
      <c r="G16" s="4"/>
      <c r="H16" s="4"/>
      <c r="I16" s="4"/>
      <c r="J16" s="4"/>
      <c r="K16" s="4"/>
      <c r="L16" s="4"/>
      <c r="M16" s="4"/>
      <c r="N16" s="4"/>
      <c r="O16" s="4"/>
      <c r="P16" s="4"/>
      <c r="Q16" s="4"/>
      <c r="R16" s="4"/>
    </row>
    <row r="17" spans="1:18" x14ac:dyDescent="0.35">
      <c r="A17" s="4"/>
      <c r="B17" s="4"/>
      <c r="C17" s="4"/>
      <c r="D17" s="4"/>
      <c r="E17" s="4"/>
      <c r="F17" s="4"/>
      <c r="G17" s="4"/>
      <c r="H17" s="4"/>
      <c r="I17" s="4"/>
      <c r="J17" s="4"/>
      <c r="K17" s="4"/>
      <c r="L17" s="4"/>
      <c r="M17" s="4"/>
      <c r="N17" s="4"/>
      <c r="O17" s="4"/>
      <c r="P17" s="4"/>
      <c r="Q17" s="4"/>
      <c r="R17" s="4"/>
    </row>
    <row r="18" spans="1:18" x14ac:dyDescent="0.35">
      <c r="A18" s="4"/>
      <c r="B18" s="4"/>
      <c r="C18" s="4"/>
      <c r="D18" s="4"/>
      <c r="E18" s="4"/>
      <c r="F18" s="4"/>
      <c r="G18" s="4"/>
      <c r="H18" s="4"/>
      <c r="I18" s="4"/>
      <c r="J18" s="4"/>
      <c r="K18" s="4"/>
      <c r="L18" s="4"/>
      <c r="M18" s="4"/>
      <c r="N18" s="4"/>
      <c r="O18" s="4"/>
      <c r="P18" s="4"/>
      <c r="Q18" s="4"/>
      <c r="R18" s="4"/>
    </row>
    <row r="19" spans="1:18" x14ac:dyDescent="0.35">
      <c r="A19" s="4"/>
      <c r="B19" s="4"/>
      <c r="C19" s="4"/>
      <c r="D19" s="4"/>
      <c r="E19" s="4"/>
      <c r="F19" s="4"/>
      <c r="G19" s="4"/>
      <c r="H19" s="4"/>
      <c r="I19" s="4"/>
      <c r="J19" s="4"/>
      <c r="K19" s="4"/>
      <c r="L19" s="4"/>
      <c r="M19" s="4"/>
      <c r="N19" s="4"/>
      <c r="O19" s="4"/>
      <c r="P19" s="4"/>
      <c r="Q19" s="4"/>
      <c r="R19" s="4"/>
    </row>
    <row r="20" spans="1:18" x14ac:dyDescent="0.35">
      <c r="A20" s="4"/>
      <c r="B20" s="4"/>
      <c r="C20" s="4"/>
      <c r="D20" s="4"/>
      <c r="E20" s="4"/>
      <c r="F20" s="4"/>
      <c r="G20" s="4"/>
      <c r="H20" s="4"/>
      <c r="I20" s="4"/>
      <c r="J20" s="4"/>
      <c r="K20" s="4"/>
      <c r="L20" s="4"/>
      <c r="M20" s="4"/>
      <c r="N20" s="4"/>
      <c r="O20" s="4"/>
      <c r="P20" s="4"/>
      <c r="Q20" s="4"/>
      <c r="R20" s="4"/>
    </row>
    <row r="21" spans="1:18" x14ac:dyDescent="0.35">
      <c r="A21" s="4"/>
      <c r="B21" s="4"/>
      <c r="C21" s="4"/>
      <c r="D21" s="4"/>
      <c r="E21" s="4"/>
      <c r="F21" s="4"/>
      <c r="G21" s="4"/>
      <c r="H21" s="4"/>
      <c r="I21" s="4"/>
      <c r="J21" s="4"/>
      <c r="K21" s="4"/>
      <c r="L21" s="4"/>
      <c r="M21" s="4"/>
      <c r="N21" s="4"/>
      <c r="O21" s="4"/>
      <c r="P21" s="4"/>
      <c r="Q21" s="4"/>
      <c r="R21" s="4"/>
    </row>
    <row r="22" spans="1:18" x14ac:dyDescent="0.35">
      <c r="A22" s="4"/>
      <c r="B22" s="4"/>
      <c r="C22" s="4"/>
      <c r="D22" s="4"/>
      <c r="E22" s="4"/>
      <c r="F22" s="4"/>
      <c r="G22" s="4"/>
      <c r="H22" s="4"/>
      <c r="I22" s="4"/>
      <c r="J22" s="4"/>
      <c r="K22" s="4"/>
      <c r="L22" s="4"/>
      <c r="M22" s="4"/>
      <c r="N22" s="4"/>
      <c r="O22" s="4"/>
      <c r="P22" s="4"/>
      <c r="Q22" s="4"/>
      <c r="R22" s="4"/>
    </row>
    <row r="23" spans="1:18" x14ac:dyDescent="0.35">
      <c r="A23" s="4"/>
      <c r="B23" s="4"/>
      <c r="C23" s="4"/>
      <c r="D23" s="4"/>
      <c r="E23" s="4"/>
      <c r="F23" s="4"/>
      <c r="G23" s="4"/>
      <c r="H23" s="4"/>
      <c r="I23" s="4"/>
      <c r="J23" s="4"/>
      <c r="K23" s="4"/>
      <c r="L23" s="4"/>
      <c r="M23" s="4"/>
      <c r="N23" s="4"/>
      <c r="O23" s="4"/>
      <c r="P23" s="4"/>
      <c r="Q23" s="4"/>
      <c r="R23" s="4"/>
    </row>
    <row r="24" spans="1:18" ht="15.5" x14ac:dyDescent="0.35">
      <c r="A24" s="6" t="s">
        <v>109</v>
      </c>
      <c r="B24" s="4"/>
      <c r="C24" s="4"/>
      <c r="D24" s="4"/>
      <c r="E24" s="4"/>
      <c r="F24" s="4"/>
      <c r="G24" s="4"/>
      <c r="H24" s="4"/>
      <c r="I24" s="6" t="s">
        <v>111</v>
      </c>
      <c r="J24" s="4"/>
      <c r="K24" s="4"/>
      <c r="L24" s="4"/>
      <c r="M24" s="4"/>
      <c r="N24" s="4"/>
      <c r="O24" s="4"/>
      <c r="P24" s="4"/>
      <c r="Q24" s="4"/>
      <c r="R24" s="4"/>
    </row>
    <row r="25" spans="1:18" x14ac:dyDescent="0.35">
      <c r="A25" s="4"/>
      <c r="B25" s="4"/>
      <c r="C25" s="4"/>
      <c r="D25" s="4"/>
      <c r="E25" s="4"/>
      <c r="F25" s="4"/>
      <c r="G25" s="4"/>
      <c r="H25" s="4"/>
      <c r="I25" s="9"/>
      <c r="J25" s="7"/>
      <c r="K25" s="11"/>
      <c r="L25" s="4"/>
      <c r="M25" s="4"/>
      <c r="N25" s="4"/>
      <c r="O25" s="4"/>
      <c r="P25" s="4"/>
      <c r="Q25" s="4"/>
      <c r="R25" s="4"/>
    </row>
    <row r="26" spans="1:18" x14ac:dyDescent="0.35">
      <c r="A26" s="4"/>
      <c r="B26" s="4"/>
      <c r="C26" s="4"/>
      <c r="D26" s="4"/>
      <c r="E26" s="4"/>
      <c r="F26" s="4"/>
      <c r="G26" s="4"/>
      <c r="H26" s="4"/>
      <c r="I26" s="14"/>
      <c r="J26" s="15"/>
      <c r="K26" s="12"/>
      <c r="L26" s="4"/>
      <c r="M26" s="4"/>
      <c r="N26" s="4"/>
      <c r="O26" s="4"/>
      <c r="P26" s="4"/>
      <c r="Q26" s="4"/>
      <c r="R26" s="4"/>
    </row>
    <row r="27" spans="1:18" x14ac:dyDescent="0.35">
      <c r="A27" s="4"/>
      <c r="B27" s="4"/>
      <c r="C27" s="4"/>
      <c r="D27" s="4"/>
      <c r="E27" s="4"/>
      <c r="F27" s="4"/>
      <c r="G27" s="4"/>
      <c r="H27" s="4"/>
      <c r="I27" s="17" t="s">
        <v>99</v>
      </c>
      <c r="J27" s="17" t="s" vm="1">
        <v>107</v>
      </c>
      <c r="K27" s="12"/>
      <c r="L27" s="4"/>
      <c r="M27" s="4"/>
      <c r="N27" s="4"/>
      <c r="O27" s="4"/>
      <c r="P27" s="4"/>
      <c r="Q27" s="4"/>
      <c r="R27" s="4"/>
    </row>
    <row r="28" spans="1:18" x14ac:dyDescent="0.35">
      <c r="A28" s="4"/>
      <c r="B28" s="4"/>
      <c r="C28" s="4"/>
      <c r="D28" s="4"/>
      <c r="E28" s="4"/>
      <c r="F28" s="4"/>
      <c r="G28" s="4"/>
      <c r="H28" s="4"/>
      <c r="I28" s="14"/>
      <c r="J28" s="15"/>
      <c r="K28" s="16"/>
      <c r="L28" s="4"/>
      <c r="M28" s="4"/>
      <c r="N28" s="4"/>
      <c r="O28" s="4"/>
      <c r="P28" s="4"/>
      <c r="Q28" s="4"/>
      <c r="R28" s="4"/>
    </row>
    <row r="29" spans="1:18" x14ac:dyDescent="0.35">
      <c r="A29" s="4"/>
      <c r="B29" s="4"/>
      <c r="C29" s="4"/>
      <c r="D29" s="4"/>
      <c r="E29" s="4"/>
      <c r="F29" s="4"/>
      <c r="G29" s="4"/>
      <c r="H29" s="4"/>
      <c r="I29" s="21" t="s">
        <v>1</v>
      </c>
      <c r="J29" s="21" t="s">
        <v>106</v>
      </c>
      <c r="K29" s="21"/>
      <c r="L29" s="4"/>
      <c r="M29" s="4"/>
      <c r="N29" s="4"/>
      <c r="O29" s="4"/>
      <c r="P29" s="4"/>
      <c r="Q29" s="4"/>
      <c r="R29" s="4"/>
    </row>
    <row r="30" spans="1:18" x14ac:dyDescent="0.35">
      <c r="A30" s="4"/>
      <c r="B30" s="4"/>
      <c r="C30" s="4"/>
      <c r="D30" s="4"/>
      <c r="E30" s="4"/>
      <c r="F30" s="4"/>
      <c r="G30" s="4"/>
      <c r="H30" s="4"/>
      <c r="I30" s="17" t="s">
        <v>87</v>
      </c>
      <c r="J30" s="17" t="s">
        <v>103</v>
      </c>
      <c r="K30" s="18">
        <v>41548</v>
      </c>
      <c r="L30" s="4"/>
      <c r="M30" s="4"/>
      <c r="N30" s="4"/>
      <c r="O30" s="4"/>
      <c r="P30" s="4"/>
      <c r="Q30" s="4"/>
      <c r="R30" s="4"/>
    </row>
    <row r="31" spans="1:18" x14ac:dyDescent="0.35">
      <c r="A31" s="4"/>
      <c r="B31" s="4"/>
      <c r="C31" s="4"/>
      <c r="D31" s="4"/>
      <c r="E31" s="4"/>
      <c r="F31" s="4"/>
      <c r="G31" s="4"/>
      <c r="H31" s="4"/>
      <c r="I31" s="17"/>
      <c r="J31" s="17" t="s">
        <v>105</v>
      </c>
      <c r="K31" s="20">
        <v>0.23858343920919123</v>
      </c>
      <c r="L31" s="4"/>
      <c r="M31" s="4"/>
      <c r="N31" s="4"/>
      <c r="O31" s="4"/>
      <c r="P31" s="4"/>
      <c r="Q31" s="4"/>
      <c r="R31" s="4"/>
    </row>
    <row r="32" spans="1:18" x14ac:dyDescent="0.35">
      <c r="A32" s="4"/>
      <c r="B32" s="4"/>
      <c r="C32" s="4"/>
      <c r="D32" s="4"/>
      <c r="E32" s="4"/>
      <c r="F32" s="4"/>
      <c r="G32" s="4"/>
      <c r="H32" s="4"/>
      <c r="I32" s="17"/>
      <c r="J32" s="17" t="s">
        <v>104</v>
      </c>
      <c r="K32" s="19">
        <v>-3.5380764417059785E-3</v>
      </c>
      <c r="L32" s="4"/>
      <c r="M32" s="4"/>
      <c r="N32" s="4"/>
      <c r="O32" s="4"/>
      <c r="P32" s="4"/>
      <c r="Q32" s="4"/>
      <c r="R32" s="4"/>
    </row>
    <row r="33" spans="1:18" x14ac:dyDescent="0.35">
      <c r="A33" s="4"/>
      <c r="B33" s="4"/>
      <c r="C33" s="4"/>
      <c r="D33" s="4"/>
      <c r="E33" s="4"/>
      <c r="F33" s="4"/>
      <c r="G33" s="4"/>
      <c r="H33" s="4"/>
      <c r="I33" s="17" t="s">
        <v>92</v>
      </c>
      <c r="J33" s="17" t="s">
        <v>103</v>
      </c>
      <c r="K33" s="18">
        <v>10033</v>
      </c>
      <c r="L33" s="4"/>
      <c r="M33" s="4"/>
      <c r="N33" s="4"/>
      <c r="O33" s="4"/>
      <c r="P33" s="4"/>
      <c r="Q33" s="4"/>
      <c r="R33" s="4"/>
    </row>
    <row r="34" spans="1:18" x14ac:dyDescent="0.35">
      <c r="A34" s="4"/>
      <c r="B34" s="4"/>
      <c r="C34" s="4"/>
      <c r="D34" s="4"/>
      <c r="E34" s="4"/>
      <c r="F34" s="4"/>
      <c r="G34" s="4"/>
      <c r="H34" s="4"/>
      <c r="I34" s="17"/>
      <c r="J34" s="17" t="s">
        <v>105</v>
      </c>
      <c r="K34" s="20">
        <v>0.13515833680866529</v>
      </c>
      <c r="L34" s="4"/>
      <c r="M34" s="4"/>
      <c r="N34" s="4"/>
      <c r="O34" s="4"/>
      <c r="P34" s="4"/>
      <c r="Q34" s="4"/>
      <c r="R34" s="4"/>
    </row>
    <row r="35" spans="1:18" x14ac:dyDescent="0.35">
      <c r="A35" s="4"/>
      <c r="B35" s="4"/>
      <c r="C35" s="4"/>
      <c r="D35" s="4"/>
      <c r="E35" s="4"/>
      <c r="F35" s="4"/>
      <c r="G35" s="4"/>
      <c r="H35" s="4"/>
      <c r="I35" s="17"/>
      <c r="J35" s="17" t="s">
        <v>104</v>
      </c>
      <c r="K35" s="19">
        <v>-1.5449018239808631E-2</v>
      </c>
      <c r="L35" s="4"/>
      <c r="M35" s="4"/>
      <c r="N35" s="4"/>
      <c r="O35" s="4"/>
      <c r="P35" s="4"/>
      <c r="Q35" s="4"/>
      <c r="R35" s="4"/>
    </row>
    <row r="36" spans="1:18" x14ac:dyDescent="0.35">
      <c r="A36" s="4"/>
      <c r="B36" s="4"/>
      <c r="C36" s="4"/>
      <c r="D36" s="4"/>
      <c r="E36" s="4"/>
      <c r="F36" s="4"/>
      <c r="G36" s="4"/>
      <c r="H36" s="4"/>
      <c r="I36" s="17" t="s">
        <v>86</v>
      </c>
      <c r="J36" s="17" t="s">
        <v>103</v>
      </c>
      <c r="K36" s="18">
        <v>203189</v>
      </c>
      <c r="L36" s="4"/>
      <c r="M36" s="4"/>
      <c r="N36" s="4"/>
      <c r="O36" s="4"/>
      <c r="P36" s="4"/>
      <c r="Q36" s="4"/>
      <c r="R36" s="4"/>
    </row>
    <row r="37" spans="1:18" x14ac:dyDescent="0.35">
      <c r="A37" s="4"/>
      <c r="B37" s="4"/>
      <c r="C37" s="4"/>
      <c r="D37" s="4"/>
      <c r="E37" s="4"/>
      <c r="F37" s="4"/>
      <c r="G37" s="4"/>
      <c r="H37" s="4"/>
      <c r="I37" s="17"/>
      <c r="J37" s="17" t="s">
        <v>105</v>
      </c>
      <c r="K37" s="20">
        <v>0.21962387961897001</v>
      </c>
      <c r="L37" s="4"/>
      <c r="M37" s="4"/>
      <c r="N37" s="4"/>
      <c r="O37" s="4"/>
      <c r="P37" s="4"/>
      <c r="Q37" s="4"/>
      <c r="R37" s="4"/>
    </row>
    <row r="38" spans="1:18" x14ac:dyDescent="0.35">
      <c r="A38" s="4"/>
      <c r="B38" s="4"/>
      <c r="C38" s="4"/>
      <c r="D38" s="4"/>
      <c r="E38" s="4"/>
      <c r="F38" s="4"/>
      <c r="G38" s="4"/>
      <c r="H38" s="4"/>
      <c r="I38" s="17"/>
      <c r="J38" s="17" t="s">
        <v>104</v>
      </c>
      <c r="K38" s="19">
        <v>-4.4702223053413322E-2</v>
      </c>
      <c r="L38" s="4"/>
      <c r="M38" s="4"/>
      <c r="N38" s="4"/>
      <c r="O38" s="4"/>
      <c r="P38" s="4"/>
      <c r="Q38" s="4"/>
      <c r="R38" s="4"/>
    </row>
    <row r="39" spans="1:18" x14ac:dyDescent="0.35">
      <c r="A39" s="4"/>
      <c r="B39" s="4"/>
      <c r="C39" s="4"/>
      <c r="D39" s="4"/>
      <c r="E39" s="4"/>
      <c r="F39" s="4"/>
      <c r="G39" s="4"/>
      <c r="H39" s="4"/>
      <c r="I39" s="17" t="s">
        <v>2</v>
      </c>
      <c r="J39" s="17" t="s">
        <v>103</v>
      </c>
      <c r="K39" s="18">
        <v>217267</v>
      </c>
      <c r="L39" s="4"/>
      <c r="M39" s="4"/>
      <c r="N39" s="4"/>
      <c r="O39" s="4"/>
      <c r="P39" s="4"/>
      <c r="Q39" s="4"/>
      <c r="R39" s="4"/>
    </row>
    <row r="40" spans="1:18" x14ac:dyDescent="0.35">
      <c r="A40" s="4"/>
      <c r="B40" s="4"/>
      <c r="C40" s="4"/>
      <c r="D40" s="4"/>
      <c r="E40" s="4"/>
      <c r="F40" s="4"/>
      <c r="G40" s="4"/>
      <c r="H40" s="4"/>
      <c r="I40" s="17"/>
      <c r="J40" s="17" t="s">
        <v>105</v>
      </c>
      <c r="K40" s="20">
        <v>0.2727478374045873</v>
      </c>
      <c r="L40" s="4"/>
      <c r="M40" s="4"/>
      <c r="N40" s="4"/>
      <c r="O40" s="4"/>
      <c r="P40" s="4"/>
      <c r="Q40" s="4"/>
      <c r="R40" s="4"/>
    </row>
    <row r="41" spans="1:18" x14ac:dyDescent="0.35">
      <c r="A41" s="4"/>
      <c r="B41" s="4"/>
      <c r="C41" s="4"/>
      <c r="D41" s="4"/>
      <c r="E41" s="4"/>
      <c r="F41" s="4"/>
      <c r="G41" s="4"/>
      <c r="H41" s="4"/>
      <c r="I41" s="17"/>
      <c r="J41" s="17" t="s">
        <v>104</v>
      </c>
      <c r="K41" s="19">
        <v>-1.2523761086589312E-2</v>
      </c>
      <c r="L41" s="4"/>
      <c r="M41" s="4"/>
      <c r="N41" s="4"/>
      <c r="O41" s="4"/>
      <c r="P41" s="4"/>
      <c r="Q41" s="4"/>
      <c r="R41" s="4"/>
    </row>
    <row r="42" spans="1:18" x14ac:dyDescent="0.35">
      <c r="A42" s="4"/>
      <c r="B42" s="4"/>
      <c r="C42" s="4"/>
      <c r="D42" s="4"/>
      <c r="E42" s="4"/>
      <c r="F42" s="4"/>
      <c r="G42" s="4"/>
      <c r="H42" s="4"/>
      <c r="I42" s="17" t="s">
        <v>91</v>
      </c>
      <c r="J42" s="17" t="s">
        <v>103</v>
      </c>
      <c r="K42" s="18">
        <v>13998</v>
      </c>
      <c r="L42" s="4"/>
      <c r="M42" s="4"/>
      <c r="N42" s="4"/>
      <c r="O42" s="4"/>
      <c r="P42" s="4"/>
      <c r="Q42" s="4"/>
      <c r="R42" s="4"/>
    </row>
    <row r="43" spans="1:18" x14ac:dyDescent="0.35">
      <c r="A43" s="4"/>
      <c r="B43" s="4"/>
      <c r="C43" s="4"/>
      <c r="D43" s="4"/>
      <c r="E43" s="4"/>
      <c r="F43" s="4"/>
      <c r="G43" s="4"/>
      <c r="H43" s="4"/>
      <c r="I43" s="17"/>
      <c r="J43" s="17" t="s">
        <v>105</v>
      </c>
      <c r="K43" s="20">
        <v>0.22372334510287795</v>
      </c>
      <c r="L43" s="4"/>
      <c r="M43" s="4"/>
      <c r="N43" s="4"/>
      <c r="O43" s="4"/>
      <c r="P43" s="4"/>
      <c r="Q43" s="4"/>
      <c r="R43" s="4"/>
    </row>
    <row r="44" spans="1:18" x14ac:dyDescent="0.35">
      <c r="A44" s="4"/>
      <c r="B44" s="4"/>
      <c r="C44" s="4"/>
      <c r="D44" s="4"/>
      <c r="E44" s="4"/>
      <c r="F44" s="4"/>
      <c r="G44" s="4"/>
      <c r="H44" s="4"/>
      <c r="I44" s="17"/>
      <c r="J44" s="17" t="s">
        <v>104</v>
      </c>
      <c r="K44" s="19">
        <v>-1.8074010572938993E-2</v>
      </c>
      <c r="L44" s="4"/>
      <c r="M44" s="4"/>
      <c r="N44" s="4"/>
      <c r="O44" s="4"/>
      <c r="P44" s="4"/>
      <c r="Q44" s="4"/>
      <c r="R44" s="4"/>
    </row>
    <row r="45" spans="1:18" x14ac:dyDescent="0.35">
      <c r="A45" s="4"/>
      <c r="B45" s="4"/>
      <c r="C45" s="4"/>
      <c r="D45" s="4"/>
      <c r="E45" s="4"/>
      <c r="F45" s="4"/>
      <c r="G45" s="4"/>
      <c r="H45" s="4"/>
      <c r="I45" s="17" t="s">
        <v>17</v>
      </c>
      <c r="J45" s="17" t="s">
        <v>103</v>
      </c>
      <c r="K45" s="18">
        <v>37044</v>
      </c>
      <c r="L45" s="4"/>
      <c r="M45" s="4"/>
      <c r="N45" s="4"/>
      <c r="O45" s="4"/>
      <c r="P45" s="4"/>
      <c r="Q45" s="4"/>
      <c r="R45" s="4"/>
    </row>
    <row r="46" spans="1:18" x14ac:dyDescent="0.35">
      <c r="A46" s="4"/>
      <c r="B46" s="4"/>
      <c r="C46" s="4"/>
      <c r="D46" s="4"/>
      <c r="E46" s="4"/>
      <c r="F46" s="4"/>
      <c r="G46" s="4"/>
      <c r="H46" s="4"/>
      <c r="I46" s="17"/>
      <c r="J46" s="17" t="s">
        <v>105</v>
      </c>
      <c r="K46" s="20">
        <v>0.15397250227674442</v>
      </c>
      <c r="L46" s="4"/>
      <c r="M46" s="4"/>
      <c r="N46" s="4"/>
      <c r="O46" s="4"/>
      <c r="P46" s="4"/>
      <c r="Q46" s="4"/>
      <c r="R46" s="4"/>
    </row>
    <row r="47" spans="1:18" x14ac:dyDescent="0.35">
      <c r="A47" s="4"/>
      <c r="B47" s="4"/>
      <c r="C47" s="4"/>
      <c r="D47" s="4"/>
      <c r="E47" s="4"/>
      <c r="F47" s="4"/>
      <c r="G47" s="4"/>
      <c r="H47" s="4"/>
      <c r="I47" s="17"/>
      <c r="J47" s="17" t="s">
        <v>104</v>
      </c>
      <c r="K47" s="19">
        <v>-8.1065759637188206E-2</v>
      </c>
      <c r="L47" s="4"/>
      <c r="M47" s="4"/>
      <c r="N47" s="4"/>
      <c r="O47" s="4"/>
      <c r="P47" s="4"/>
      <c r="Q47" s="4"/>
      <c r="R47" s="4"/>
    </row>
    <row r="48" spans="1:18" x14ac:dyDescent="0.35">
      <c r="A48" s="4"/>
      <c r="B48" s="4"/>
      <c r="C48" s="4"/>
      <c r="D48" s="4"/>
      <c r="E48" s="4"/>
      <c r="F48" s="4"/>
      <c r="G48" s="4"/>
      <c r="H48" s="4"/>
      <c r="I48" s="17" t="s">
        <v>88</v>
      </c>
      <c r="J48" s="17" t="s">
        <v>103</v>
      </c>
      <c r="K48" s="18">
        <v>102226</v>
      </c>
      <c r="L48" s="4"/>
      <c r="M48" s="4"/>
      <c r="N48" s="4"/>
      <c r="O48" s="4"/>
      <c r="P48" s="4"/>
      <c r="Q48" s="4"/>
      <c r="R48" s="4"/>
    </row>
    <row r="49" spans="1:18" x14ac:dyDescent="0.35">
      <c r="A49" s="4"/>
      <c r="B49" s="4"/>
      <c r="C49" s="4"/>
      <c r="D49" s="4"/>
      <c r="E49" s="4"/>
      <c r="F49" s="4"/>
      <c r="G49" s="4"/>
      <c r="H49" s="4"/>
      <c r="I49" s="17"/>
      <c r="J49" s="17" t="s">
        <v>105</v>
      </c>
      <c r="K49" s="20">
        <v>0.20289393715066395</v>
      </c>
      <c r="L49" s="4"/>
      <c r="M49" s="4"/>
      <c r="N49" s="4"/>
      <c r="O49" s="4"/>
      <c r="P49" s="4"/>
      <c r="Q49" s="4"/>
      <c r="R49" s="4"/>
    </row>
    <row r="50" spans="1:18" x14ac:dyDescent="0.35">
      <c r="A50" s="4"/>
      <c r="B50" s="4"/>
      <c r="C50" s="4"/>
      <c r="D50" s="4"/>
      <c r="E50" s="4"/>
      <c r="F50" s="4"/>
      <c r="G50" s="4"/>
      <c r="H50" s="4"/>
      <c r="I50" s="17"/>
      <c r="J50" s="17" t="s">
        <v>104</v>
      </c>
      <c r="K50" s="19">
        <v>-6.1432512276720207E-3</v>
      </c>
      <c r="L50" s="4"/>
      <c r="M50" s="4"/>
      <c r="N50" s="4"/>
      <c r="O50" s="4"/>
      <c r="P50" s="4"/>
      <c r="Q50" s="4"/>
      <c r="R50" s="4"/>
    </row>
    <row r="51" spans="1:18" x14ac:dyDescent="0.35">
      <c r="A51" s="4"/>
      <c r="B51" s="4"/>
      <c r="C51" s="4"/>
      <c r="D51" s="4"/>
      <c r="E51" s="4"/>
      <c r="F51" s="4"/>
      <c r="G51" s="4"/>
      <c r="H51" s="4"/>
      <c r="I51" s="17" t="s">
        <v>18</v>
      </c>
      <c r="J51" s="17" t="s">
        <v>103</v>
      </c>
      <c r="K51" s="18">
        <v>20385</v>
      </c>
      <c r="L51" s="4"/>
      <c r="M51" s="4"/>
      <c r="N51" s="4"/>
      <c r="O51" s="4"/>
      <c r="P51" s="4"/>
      <c r="Q51" s="4"/>
      <c r="R51" s="4"/>
    </row>
    <row r="52" spans="1:18" x14ac:dyDescent="0.35">
      <c r="A52" s="4"/>
      <c r="B52" s="4"/>
      <c r="C52" s="4"/>
      <c r="D52" s="4"/>
      <c r="E52" s="4"/>
      <c r="F52" s="4"/>
      <c r="G52" s="4"/>
      <c r="H52" s="4"/>
      <c r="I52" s="17"/>
      <c r="J52" s="17" t="s">
        <v>105</v>
      </c>
      <c r="K52" s="20">
        <v>0.14992611074100903</v>
      </c>
      <c r="L52" s="4"/>
      <c r="M52" s="4"/>
      <c r="N52" s="4"/>
      <c r="O52" s="4"/>
      <c r="P52" s="4"/>
      <c r="Q52" s="4"/>
      <c r="R52" s="4"/>
    </row>
    <row r="53" spans="1:18" x14ac:dyDescent="0.35">
      <c r="A53" s="4"/>
      <c r="B53" s="4"/>
      <c r="C53" s="4"/>
      <c r="D53" s="4"/>
      <c r="E53" s="4"/>
      <c r="F53" s="4"/>
      <c r="G53" s="4"/>
      <c r="H53" s="4"/>
      <c r="I53" s="17"/>
      <c r="J53" s="17" t="s">
        <v>104</v>
      </c>
      <c r="K53" s="19">
        <v>-0.15158204562178071</v>
      </c>
      <c r="L53" s="4"/>
      <c r="M53" s="4"/>
      <c r="N53" s="4"/>
      <c r="O53" s="4"/>
      <c r="P53" s="4"/>
      <c r="Q53" s="4"/>
      <c r="R53" s="4"/>
    </row>
    <row r="54" spans="1:18" x14ac:dyDescent="0.35">
      <c r="A54" s="4"/>
      <c r="B54" s="4"/>
      <c r="C54" s="4"/>
      <c r="D54" s="4"/>
      <c r="E54" s="4"/>
      <c r="F54" s="4"/>
      <c r="G54" s="4"/>
      <c r="H54" s="4"/>
      <c r="I54" s="17" t="s">
        <v>3</v>
      </c>
      <c r="J54" s="17" t="s">
        <v>103</v>
      </c>
      <c r="K54" s="18">
        <v>195724</v>
      </c>
      <c r="L54" s="4"/>
      <c r="M54" s="4"/>
      <c r="N54" s="4"/>
      <c r="O54" s="4"/>
      <c r="P54" s="4"/>
      <c r="Q54" s="4"/>
      <c r="R54" s="4"/>
    </row>
    <row r="55" spans="1:18" x14ac:dyDescent="0.35">
      <c r="A55" s="4"/>
      <c r="B55" s="4"/>
      <c r="C55" s="4"/>
      <c r="D55" s="4"/>
      <c r="E55" s="4"/>
      <c r="F55" s="4"/>
      <c r="G55" s="4"/>
      <c r="H55" s="4"/>
      <c r="I55" s="17"/>
      <c r="J55" s="17" t="s">
        <v>105</v>
      </c>
      <c r="K55" s="20">
        <v>0.32314230191243953</v>
      </c>
      <c r="L55" s="4"/>
      <c r="M55" s="4"/>
      <c r="N55" s="4"/>
      <c r="O55" s="4"/>
      <c r="P55" s="4"/>
      <c r="Q55" s="4"/>
      <c r="R55" s="4"/>
    </row>
    <row r="56" spans="1:18" x14ac:dyDescent="0.35">
      <c r="A56" s="4"/>
      <c r="B56" s="4"/>
      <c r="C56" s="4"/>
      <c r="D56" s="4"/>
      <c r="E56" s="4"/>
      <c r="F56" s="4"/>
      <c r="G56" s="4"/>
      <c r="H56" s="4"/>
      <c r="I56" s="17"/>
      <c r="J56" s="17" t="s">
        <v>104</v>
      </c>
      <c r="K56" s="19">
        <v>-1.2921256463182849E-2</v>
      </c>
      <c r="L56" s="4"/>
      <c r="M56" s="4"/>
      <c r="N56" s="4"/>
      <c r="O56" s="4"/>
      <c r="P56" s="4"/>
      <c r="Q56" s="4"/>
      <c r="R56" s="4"/>
    </row>
    <row r="57" spans="1:18" x14ac:dyDescent="0.35">
      <c r="A57" s="4"/>
      <c r="B57" s="4"/>
      <c r="C57" s="4"/>
      <c r="D57" s="4"/>
      <c r="E57" s="4"/>
      <c r="F57" s="4"/>
      <c r="G57" s="4"/>
      <c r="H57" s="4"/>
      <c r="I57" s="10"/>
      <c r="J57" s="8"/>
      <c r="K57" s="13"/>
      <c r="L57" s="4"/>
      <c r="M57" s="4"/>
      <c r="N57" s="4"/>
      <c r="O57" s="4"/>
      <c r="P57" s="4"/>
      <c r="Q57" s="4"/>
      <c r="R57" s="4"/>
    </row>
    <row r="58" spans="1:18" x14ac:dyDescent="0.35">
      <c r="A58" s="4"/>
      <c r="B58" s="4"/>
      <c r="C58" s="4"/>
      <c r="D58" s="4"/>
      <c r="E58" s="4"/>
      <c r="F58" s="4"/>
      <c r="G58" s="4"/>
      <c r="H58" s="4"/>
      <c r="I58" s="4"/>
      <c r="J58" s="4"/>
      <c r="K58" s="4"/>
      <c r="L58" s="4"/>
      <c r="M58" s="4"/>
      <c r="N58" s="4"/>
      <c r="O58" s="4"/>
      <c r="P58" s="4"/>
      <c r="Q58" s="4"/>
      <c r="R58" s="4"/>
    </row>
  </sheetData>
  <mergeCells count="2">
    <mergeCell ref="A1:J1"/>
    <mergeCell ref="K1:R1"/>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F75C-5842-4415-B13B-B8A3AFF4CCAF}">
  <dimension ref="A1:C46"/>
  <sheetViews>
    <sheetView workbookViewId="0">
      <selection activeCell="C2" sqref="C2"/>
    </sheetView>
  </sheetViews>
  <sheetFormatPr defaultRowHeight="14.5" x14ac:dyDescent="0.35"/>
  <cols>
    <col min="1" max="1" width="8.08984375" bestFit="1" customWidth="1"/>
    <col min="2" max="2" width="6.81640625" bestFit="1" customWidth="1"/>
    <col min="3" max="3" width="10.26953125" bestFit="1" customWidth="1"/>
    <col min="4" max="4" width="12.7265625" bestFit="1" customWidth="1"/>
    <col min="5" max="5" width="10.26953125" bestFit="1" customWidth="1"/>
  </cols>
  <sheetData>
    <row r="1" spans="1:3" x14ac:dyDescent="0.35">
      <c r="A1" t="s">
        <v>24</v>
      </c>
      <c r="B1" t="s">
        <v>99</v>
      </c>
      <c r="C1" t="s">
        <v>102</v>
      </c>
    </row>
    <row r="2" spans="1:3" x14ac:dyDescent="0.35">
      <c r="A2" t="s">
        <v>30</v>
      </c>
      <c r="B2">
        <v>2020</v>
      </c>
      <c r="C2">
        <v>17095</v>
      </c>
    </row>
    <row r="3" spans="1:3" x14ac:dyDescent="0.35">
      <c r="A3" t="s">
        <v>30</v>
      </c>
      <c r="B3">
        <v>2021</v>
      </c>
      <c r="C3">
        <v>29899</v>
      </c>
    </row>
    <row r="4" spans="1:3" x14ac:dyDescent="0.35">
      <c r="A4" t="s">
        <v>30</v>
      </c>
      <c r="B4">
        <v>2022</v>
      </c>
      <c r="C4">
        <v>50582</v>
      </c>
    </row>
    <row r="5" spans="1:3" x14ac:dyDescent="0.35">
      <c r="A5" t="s">
        <v>30</v>
      </c>
      <c r="B5">
        <v>2023</v>
      </c>
      <c r="C5">
        <v>58048</v>
      </c>
    </row>
    <row r="6" spans="1:3" x14ac:dyDescent="0.35">
      <c r="A6" t="s">
        <v>30</v>
      </c>
      <c r="B6">
        <v>2024</v>
      </c>
      <c r="C6">
        <v>61643</v>
      </c>
    </row>
    <row r="7" spans="1:3" x14ac:dyDescent="0.35">
      <c r="A7" t="s">
        <v>36</v>
      </c>
      <c r="B7">
        <v>2020</v>
      </c>
      <c r="C7">
        <v>15355</v>
      </c>
    </row>
    <row r="8" spans="1:3" x14ac:dyDescent="0.35">
      <c r="A8" t="s">
        <v>36</v>
      </c>
      <c r="B8">
        <v>2021</v>
      </c>
      <c r="C8">
        <v>24634</v>
      </c>
    </row>
    <row r="9" spans="1:3" x14ac:dyDescent="0.35">
      <c r="A9" t="s">
        <v>36</v>
      </c>
      <c r="B9">
        <v>2022</v>
      </c>
      <c r="C9">
        <v>44955</v>
      </c>
    </row>
    <row r="10" spans="1:3" x14ac:dyDescent="0.35">
      <c r="A10" t="s">
        <v>36</v>
      </c>
      <c r="B10">
        <v>2023</v>
      </c>
      <c r="C10">
        <v>53717</v>
      </c>
    </row>
    <row r="11" spans="1:3" x14ac:dyDescent="0.35">
      <c r="A11" t="s">
        <v>36</v>
      </c>
      <c r="B11">
        <v>2024</v>
      </c>
      <c r="C11">
        <v>57063</v>
      </c>
    </row>
    <row r="12" spans="1:3" x14ac:dyDescent="0.35">
      <c r="A12" t="s">
        <v>42</v>
      </c>
      <c r="B12">
        <v>2020</v>
      </c>
      <c r="C12">
        <v>17337</v>
      </c>
    </row>
    <row r="13" spans="1:3" x14ac:dyDescent="0.35">
      <c r="A13" t="s">
        <v>42</v>
      </c>
      <c r="B13">
        <v>2021</v>
      </c>
      <c r="C13">
        <v>29882</v>
      </c>
    </row>
    <row r="14" spans="1:3" x14ac:dyDescent="0.35">
      <c r="A14" t="s">
        <v>42</v>
      </c>
      <c r="B14">
        <v>2022</v>
      </c>
      <c r="C14">
        <v>48971</v>
      </c>
    </row>
    <row r="15" spans="1:3" x14ac:dyDescent="0.35">
      <c r="A15" t="s">
        <v>42</v>
      </c>
      <c r="B15">
        <v>2023</v>
      </c>
      <c r="C15">
        <v>52788</v>
      </c>
    </row>
    <row r="16" spans="1:3" x14ac:dyDescent="0.35">
      <c r="A16" t="s">
        <v>42</v>
      </c>
      <c r="B16">
        <v>2024</v>
      </c>
      <c r="C16">
        <v>54211</v>
      </c>
    </row>
    <row r="17" spans="1:3" x14ac:dyDescent="0.35">
      <c r="A17" t="s">
        <v>48</v>
      </c>
      <c r="B17">
        <v>2020</v>
      </c>
      <c r="C17">
        <v>9048</v>
      </c>
    </row>
    <row r="18" spans="1:3" x14ac:dyDescent="0.35">
      <c r="A18" t="s">
        <v>48</v>
      </c>
      <c r="B18">
        <v>2021</v>
      </c>
      <c r="C18">
        <v>15790</v>
      </c>
    </row>
    <row r="19" spans="1:3" x14ac:dyDescent="0.35">
      <c r="A19" t="s">
        <v>48</v>
      </c>
      <c r="B19">
        <v>2022</v>
      </c>
      <c r="C19">
        <v>23814</v>
      </c>
    </row>
    <row r="20" spans="1:3" x14ac:dyDescent="0.35">
      <c r="A20" t="s">
        <v>48</v>
      </c>
      <c r="B20">
        <v>2023</v>
      </c>
      <c r="C20">
        <v>26091</v>
      </c>
    </row>
    <row r="21" spans="1:3" x14ac:dyDescent="0.35">
      <c r="A21" t="s">
        <v>48</v>
      </c>
      <c r="B21">
        <v>2024</v>
      </c>
      <c r="C21">
        <v>27483</v>
      </c>
    </row>
    <row r="22" spans="1:3" x14ac:dyDescent="0.35">
      <c r="A22" t="s">
        <v>53</v>
      </c>
      <c r="B22">
        <v>2020</v>
      </c>
      <c r="C22">
        <v>3566</v>
      </c>
    </row>
    <row r="23" spans="1:3" x14ac:dyDescent="0.35">
      <c r="A23" t="s">
        <v>53</v>
      </c>
      <c r="B23">
        <v>2021</v>
      </c>
      <c r="C23">
        <v>6176</v>
      </c>
    </row>
    <row r="24" spans="1:3" x14ac:dyDescent="0.35">
      <c r="A24" t="s">
        <v>53</v>
      </c>
      <c r="B24">
        <v>2022</v>
      </c>
      <c r="C24">
        <v>9646</v>
      </c>
    </row>
    <row r="25" spans="1:3" x14ac:dyDescent="0.35">
      <c r="A25" t="s">
        <v>53</v>
      </c>
      <c r="B25">
        <v>2023</v>
      </c>
      <c r="C25">
        <v>10425</v>
      </c>
    </row>
    <row r="26" spans="1:3" x14ac:dyDescent="0.35">
      <c r="A26" t="s">
        <v>53</v>
      </c>
      <c r="B26">
        <v>2024</v>
      </c>
      <c r="C26">
        <v>11735</v>
      </c>
    </row>
    <row r="27" spans="1:3" x14ac:dyDescent="0.35">
      <c r="A27" t="s">
        <v>59</v>
      </c>
      <c r="B27">
        <v>2020</v>
      </c>
      <c r="C27">
        <v>2957</v>
      </c>
    </row>
    <row r="28" spans="1:3" x14ac:dyDescent="0.35">
      <c r="A28" t="s">
        <v>59</v>
      </c>
      <c r="B28">
        <v>2021</v>
      </c>
      <c r="C28">
        <v>6037</v>
      </c>
    </row>
    <row r="29" spans="1:3" x14ac:dyDescent="0.35">
      <c r="A29" t="s">
        <v>59</v>
      </c>
      <c r="B29">
        <v>2022</v>
      </c>
      <c r="C29">
        <v>9158</v>
      </c>
    </row>
    <row r="30" spans="1:3" x14ac:dyDescent="0.35">
      <c r="A30" t="s">
        <v>59</v>
      </c>
      <c r="B30">
        <v>2023</v>
      </c>
      <c r="C30">
        <v>9615</v>
      </c>
    </row>
    <row r="31" spans="1:3" x14ac:dyDescent="0.35">
      <c r="A31" t="s">
        <v>59</v>
      </c>
      <c r="B31">
        <v>2024</v>
      </c>
      <c r="C31">
        <v>9277</v>
      </c>
    </row>
    <row r="32" spans="1:3" x14ac:dyDescent="0.35">
      <c r="A32" t="s">
        <v>65</v>
      </c>
      <c r="B32">
        <v>2020</v>
      </c>
      <c r="C32">
        <v>1810</v>
      </c>
    </row>
    <row r="33" spans="1:3" x14ac:dyDescent="0.35">
      <c r="A33" t="s">
        <v>65</v>
      </c>
      <c r="B33">
        <v>2021</v>
      </c>
      <c r="C33">
        <v>3231</v>
      </c>
    </row>
    <row r="34" spans="1:3" x14ac:dyDescent="0.35">
      <c r="A34" t="s">
        <v>65</v>
      </c>
      <c r="B34">
        <v>2022</v>
      </c>
      <c r="C34">
        <v>5067</v>
      </c>
    </row>
    <row r="35" spans="1:3" x14ac:dyDescent="0.35">
      <c r="A35" t="s">
        <v>65</v>
      </c>
      <c r="B35">
        <v>2023</v>
      </c>
      <c r="C35">
        <v>5364</v>
      </c>
    </row>
    <row r="36" spans="1:3" x14ac:dyDescent="0.35">
      <c r="A36" t="s">
        <v>65</v>
      </c>
      <c r="B36">
        <v>2024</v>
      </c>
      <c r="C36">
        <v>4913</v>
      </c>
    </row>
    <row r="37" spans="1:3" x14ac:dyDescent="0.35">
      <c r="A37" t="s">
        <v>70</v>
      </c>
      <c r="B37">
        <v>2020</v>
      </c>
      <c r="C37">
        <v>1250</v>
      </c>
    </row>
    <row r="38" spans="1:3" x14ac:dyDescent="0.35">
      <c r="A38" t="s">
        <v>70</v>
      </c>
      <c r="B38">
        <v>2021</v>
      </c>
      <c r="C38">
        <v>2060</v>
      </c>
    </row>
    <row r="39" spans="1:3" x14ac:dyDescent="0.35">
      <c r="A39" t="s">
        <v>70</v>
      </c>
      <c r="B39">
        <v>2022</v>
      </c>
      <c r="C39">
        <v>3326</v>
      </c>
    </row>
    <row r="40" spans="1:3" x14ac:dyDescent="0.35">
      <c r="A40" t="s">
        <v>70</v>
      </c>
      <c r="B40">
        <v>2023</v>
      </c>
      <c r="C40">
        <v>3587</v>
      </c>
    </row>
    <row r="41" spans="1:3" x14ac:dyDescent="0.35">
      <c r="A41" t="s">
        <v>70</v>
      </c>
      <c r="B41">
        <v>2024</v>
      </c>
      <c r="C41">
        <v>3775</v>
      </c>
    </row>
    <row r="42" spans="1:3" x14ac:dyDescent="0.35">
      <c r="A42" t="s">
        <v>75</v>
      </c>
      <c r="B42">
        <v>2020</v>
      </c>
      <c r="C42">
        <v>990</v>
      </c>
    </row>
    <row r="43" spans="1:3" x14ac:dyDescent="0.35">
      <c r="A43" t="s">
        <v>75</v>
      </c>
      <c r="B43">
        <v>2021</v>
      </c>
      <c r="C43">
        <v>1718</v>
      </c>
    </row>
    <row r="44" spans="1:3" x14ac:dyDescent="0.35">
      <c r="A44" t="s">
        <v>75</v>
      </c>
      <c r="B44">
        <v>2022</v>
      </c>
      <c r="C44">
        <v>2302</v>
      </c>
    </row>
    <row r="45" spans="1:3" x14ac:dyDescent="0.35">
      <c r="A45" t="s">
        <v>75</v>
      </c>
      <c r="B45">
        <v>2023</v>
      </c>
      <c r="C45">
        <v>2510</v>
      </c>
    </row>
    <row r="46" spans="1:3" x14ac:dyDescent="0.35">
      <c r="A46" t="s">
        <v>75</v>
      </c>
      <c r="B46">
        <v>2024</v>
      </c>
      <c r="C46">
        <v>2513</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5"/>
  <sheetViews>
    <sheetView workbookViewId="0">
      <selection activeCell="F14" sqref="F14"/>
    </sheetView>
  </sheetViews>
  <sheetFormatPr defaultRowHeight="14.5" x14ac:dyDescent="0.35"/>
  <cols>
    <col min="1" max="1" width="26" customWidth="1"/>
    <col min="2" max="6" width="11" customWidth="1"/>
  </cols>
  <sheetData>
    <row r="1" spans="1:6" x14ac:dyDescent="0.35">
      <c r="A1" s="2" t="s">
        <v>93</v>
      </c>
      <c r="B1" t="s">
        <v>94</v>
      </c>
      <c r="C1" t="s">
        <v>95</v>
      </c>
      <c r="D1" t="s">
        <v>96</v>
      </c>
      <c r="E1" t="s">
        <v>97</v>
      </c>
      <c r="F1" t="s">
        <v>98</v>
      </c>
    </row>
    <row r="2" spans="1:6" x14ac:dyDescent="0.35">
      <c r="A2" s="2" t="s">
        <v>0</v>
      </c>
    </row>
    <row r="4" spans="1:6" x14ac:dyDescent="0.35">
      <c r="A4" s="1" t="s">
        <v>1</v>
      </c>
      <c r="B4" s="1">
        <v>2020</v>
      </c>
      <c r="C4" s="1">
        <v>2021</v>
      </c>
      <c r="D4" s="1">
        <v>2022</v>
      </c>
      <c r="E4" s="1">
        <v>2023</v>
      </c>
      <c r="F4" s="1">
        <v>2024</v>
      </c>
    </row>
    <row r="5" spans="1:6" x14ac:dyDescent="0.35">
      <c r="A5" t="s">
        <v>2</v>
      </c>
      <c r="B5">
        <v>17095</v>
      </c>
      <c r="C5">
        <v>29899</v>
      </c>
      <c r="D5">
        <v>50582</v>
      </c>
      <c r="E5">
        <v>58048</v>
      </c>
      <c r="F5">
        <v>61643</v>
      </c>
    </row>
    <row r="6" spans="1:6" x14ac:dyDescent="0.35">
      <c r="A6" t="s">
        <v>3</v>
      </c>
      <c r="B6" t="s">
        <v>4</v>
      </c>
      <c r="C6" t="s">
        <v>5</v>
      </c>
      <c r="D6" t="s">
        <v>6</v>
      </c>
      <c r="E6" t="s">
        <v>7</v>
      </c>
      <c r="F6" t="s">
        <v>8</v>
      </c>
    </row>
    <row r="7" spans="1:6" x14ac:dyDescent="0.35">
      <c r="A7" t="s">
        <v>9</v>
      </c>
      <c r="B7">
        <v>17337</v>
      </c>
      <c r="C7">
        <v>29882</v>
      </c>
      <c r="D7">
        <v>48971</v>
      </c>
      <c r="E7">
        <v>52788</v>
      </c>
      <c r="F7">
        <v>54211</v>
      </c>
    </row>
    <row r="8" spans="1:6" x14ac:dyDescent="0.35">
      <c r="A8" t="s">
        <v>10</v>
      </c>
      <c r="B8" t="s">
        <v>11</v>
      </c>
      <c r="C8" t="s">
        <v>12</v>
      </c>
      <c r="D8" t="s">
        <v>13</v>
      </c>
      <c r="E8" t="s">
        <v>14</v>
      </c>
      <c r="F8" t="s">
        <v>15</v>
      </c>
    </row>
    <row r="9" spans="1:6" x14ac:dyDescent="0.35">
      <c r="A9" t="s">
        <v>16</v>
      </c>
      <c r="B9">
        <v>3566</v>
      </c>
      <c r="C9">
        <v>6176</v>
      </c>
      <c r="D9">
        <v>9646</v>
      </c>
      <c r="E9">
        <v>10425</v>
      </c>
      <c r="F9">
        <v>11735</v>
      </c>
    </row>
    <row r="10" spans="1:6" x14ac:dyDescent="0.35">
      <c r="A10" t="s">
        <v>17</v>
      </c>
      <c r="B10">
        <v>2957</v>
      </c>
      <c r="C10">
        <v>6037</v>
      </c>
      <c r="D10">
        <v>9158</v>
      </c>
      <c r="E10">
        <v>9615</v>
      </c>
      <c r="F10">
        <v>9277</v>
      </c>
    </row>
    <row r="11" spans="1:6" x14ac:dyDescent="0.35">
      <c r="A11" t="s">
        <v>18</v>
      </c>
      <c r="B11">
        <v>1810</v>
      </c>
      <c r="C11">
        <v>3231</v>
      </c>
      <c r="D11">
        <v>5067</v>
      </c>
      <c r="E11">
        <v>5364</v>
      </c>
      <c r="F11">
        <v>4913</v>
      </c>
    </row>
    <row r="12" spans="1:6" x14ac:dyDescent="0.35">
      <c r="A12" t="s">
        <v>19</v>
      </c>
      <c r="B12">
        <v>1250</v>
      </c>
      <c r="C12">
        <v>2060</v>
      </c>
      <c r="D12">
        <v>3326</v>
      </c>
      <c r="E12">
        <v>3587</v>
      </c>
      <c r="F12">
        <v>3775</v>
      </c>
    </row>
    <row r="13" spans="1:6" x14ac:dyDescent="0.35">
      <c r="A13" t="s">
        <v>20</v>
      </c>
      <c r="B13">
        <v>990</v>
      </c>
      <c r="C13">
        <v>1718</v>
      </c>
      <c r="D13">
        <v>2302</v>
      </c>
      <c r="E13">
        <v>2510</v>
      </c>
      <c r="F13">
        <v>2513</v>
      </c>
    </row>
    <row r="14" spans="1:6" x14ac:dyDescent="0.35">
      <c r="A14" s="3" t="s">
        <v>21</v>
      </c>
      <c r="B14">
        <v>71500</v>
      </c>
      <c r="C14">
        <v>119000</v>
      </c>
      <c r="D14">
        <v>195000</v>
      </c>
      <c r="E14">
        <v>220000</v>
      </c>
      <c r="F14">
        <v>230000</v>
      </c>
    </row>
    <row r="15" spans="1:6" x14ac:dyDescent="0.35">
      <c r="A15" s="3" t="s">
        <v>22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8D30-C5D6-4801-BFF8-55476A12A364}">
  <dimension ref="A1:C46"/>
  <sheetViews>
    <sheetView topLeftCell="A30" workbookViewId="0">
      <selection activeCell="C46" sqref="C19:C46"/>
    </sheetView>
  </sheetViews>
  <sheetFormatPr defaultRowHeight="14.5" x14ac:dyDescent="0.35"/>
  <cols>
    <col min="1" max="1" width="8.08984375" bestFit="1" customWidth="1"/>
    <col min="2" max="2" width="10.81640625" bestFit="1" customWidth="1"/>
    <col min="3" max="3" width="7.81640625" bestFit="1" customWidth="1"/>
  </cols>
  <sheetData>
    <row r="1" spans="1:3" x14ac:dyDescent="0.35">
      <c r="A1" t="s">
        <v>24</v>
      </c>
      <c r="B1" t="s">
        <v>101</v>
      </c>
      <c r="C1" t="s">
        <v>100</v>
      </c>
    </row>
    <row r="2" spans="1:3" x14ac:dyDescent="0.35">
      <c r="A2" t="s">
        <v>30</v>
      </c>
      <c r="B2">
        <v>2020</v>
      </c>
      <c r="C2">
        <v>-12385</v>
      </c>
    </row>
    <row r="3" spans="1:3" x14ac:dyDescent="0.35">
      <c r="A3" t="s">
        <v>30</v>
      </c>
      <c r="B3">
        <v>2021</v>
      </c>
      <c r="C3">
        <v>280</v>
      </c>
    </row>
    <row r="4" spans="1:3" x14ac:dyDescent="0.35">
      <c r="A4" t="s">
        <v>30</v>
      </c>
      <c r="B4">
        <v>2022</v>
      </c>
      <c r="C4">
        <v>1318</v>
      </c>
    </row>
    <row r="5" spans="1:3" x14ac:dyDescent="0.35">
      <c r="A5" t="s">
        <v>30</v>
      </c>
      <c r="B5">
        <v>2023</v>
      </c>
      <c r="C5">
        <v>4609</v>
      </c>
    </row>
    <row r="6" spans="1:3" x14ac:dyDescent="0.35">
      <c r="A6" t="s">
        <v>30</v>
      </c>
      <c r="B6">
        <v>2024</v>
      </c>
      <c r="C6">
        <v>3457</v>
      </c>
    </row>
    <row r="7" spans="1:3" x14ac:dyDescent="0.35">
      <c r="A7" t="s">
        <v>36</v>
      </c>
      <c r="B7">
        <v>2020</v>
      </c>
      <c r="C7">
        <v>-7069</v>
      </c>
    </row>
    <row r="8" spans="1:3" x14ac:dyDescent="0.35">
      <c r="A8" t="s">
        <v>36</v>
      </c>
      <c r="B8">
        <v>2021</v>
      </c>
      <c r="C8">
        <v>-1964</v>
      </c>
    </row>
    <row r="9" spans="1:3" x14ac:dyDescent="0.35">
      <c r="A9" t="s">
        <v>36</v>
      </c>
      <c r="B9">
        <v>2022</v>
      </c>
      <c r="C9">
        <v>737</v>
      </c>
    </row>
    <row r="10" spans="1:3" x14ac:dyDescent="0.35">
      <c r="A10" t="s">
        <v>36</v>
      </c>
      <c r="B10">
        <v>2023</v>
      </c>
      <c r="C10">
        <v>2618</v>
      </c>
    </row>
    <row r="11" spans="1:3" x14ac:dyDescent="0.35">
      <c r="A11" t="s">
        <v>36</v>
      </c>
      <c r="B11">
        <v>2024</v>
      </c>
      <c r="C11">
        <v>3149</v>
      </c>
    </row>
    <row r="12" spans="1:3" x14ac:dyDescent="0.35">
      <c r="A12" t="s">
        <v>42</v>
      </c>
      <c r="B12">
        <v>2020</v>
      </c>
      <c r="C12">
        <v>-8885</v>
      </c>
    </row>
    <row r="13" spans="1:3" x14ac:dyDescent="0.35">
      <c r="A13" t="s">
        <v>42</v>
      </c>
      <c r="B13">
        <v>2021</v>
      </c>
      <c r="C13">
        <v>-1993</v>
      </c>
    </row>
    <row r="14" spans="1:3" x14ac:dyDescent="0.35">
      <c r="A14" t="s">
        <v>42</v>
      </c>
      <c r="B14">
        <v>2022</v>
      </c>
      <c r="C14">
        <v>127</v>
      </c>
    </row>
    <row r="15" spans="1:3" x14ac:dyDescent="0.35">
      <c r="A15" t="s">
        <v>42</v>
      </c>
      <c r="B15">
        <v>2023</v>
      </c>
      <c r="C15">
        <v>822</v>
      </c>
    </row>
    <row r="16" spans="1:3" x14ac:dyDescent="0.35">
      <c r="A16" t="s">
        <v>42</v>
      </c>
      <c r="B16">
        <v>2024</v>
      </c>
      <c r="C16">
        <v>846</v>
      </c>
    </row>
    <row r="17" spans="1:3" x14ac:dyDescent="0.35">
      <c r="A17" t="s">
        <v>48</v>
      </c>
      <c r="B17">
        <v>2020</v>
      </c>
      <c r="C17">
        <v>-3074</v>
      </c>
    </row>
    <row r="18" spans="1:3" x14ac:dyDescent="0.35">
      <c r="A18" t="s">
        <v>48</v>
      </c>
      <c r="B18">
        <v>2021</v>
      </c>
      <c r="C18">
        <v>977</v>
      </c>
    </row>
    <row r="19" spans="1:3" x14ac:dyDescent="0.35">
      <c r="A19" t="s">
        <v>48</v>
      </c>
      <c r="B19">
        <v>2022</v>
      </c>
      <c r="C19">
        <v>539</v>
      </c>
    </row>
    <row r="20" spans="1:3" x14ac:dyDescent="0.35">
      <c r="A20" t="s">
        <v>48</v>
      </c>
      <c r="B20">
        <v>2023</v>
      </c>
      <c r="C20">
        <v>465</v>
      </c>
    </row>
    <row r="21" spans="1:3" x14ac:dyDescent="0.35">
      <c r="A21" t="s">
        <v>48</v>
      </c>
      <c r="B21">
        <v>2024</v>
      </c>
      <c r="C21">
        <v>465</v>
      </c>
    </row>
    <row r="22" spans="1:3" x14ac:dyDescent="0.35">
      <c r="A22" t="s">
        <v>53</v>
      </c>
      <c r="B22">
        <v>2020</v>
      </c>
      <c r="C22">
        <v>-1313</v>
      </c>
    </row>
    <row r="23" spans="1:3" x14ac:dyDescent="0.35">
      <c r="A23" t="s">
        <v>53</v>
      </c>
      <c r="B23">
        <v>2021</v>
      </c>
      <c r="C23">
        <v>478</v>
      </c>
    </row>
    <row r="24" spans="1:3" x14ac:dyDescent="0.35">
      <c r="A24" t="s">
        <v>53</v>
      </c>
      <c r="B24">
        <v>2022</v>
      </c>
      <c r="C24">
        <v>58</v>
      </c>
    </row>
    <row r="25" spans="1:3" x14ac:dyDescent="0.35">
      <c r="A25" t="s">
        <v>53</v>
      </c>
      <c r="B25">
        <v>2023</v>
      </c>
      <c r="C25">
        <v>235</v>
      </c>
    </row>
    <row r="26" spans="1:3" x14ac:dyDescent="0.35">
      <c r="A26" t="s">
        <v>53</v>
      </c>
      <c r="B26">
        <v>2024</v>
      </c>
      <c r="C26">
        <v>395</v>
      </c>
    </row>
    <row r="27" spans="1:3" x14ac:dyDescent="0.35">
      <c r="A27" t="s">
        <v>59</v>
      </c>
      <c r="B27">
        <v>2020</v>
      </c>
      <c r="C27">
        <v>-1354</v>
      </c>
    </row>
    <row r="28" spans="1:3" x14ac:dyDescent="0.35">
      <c r="A28" t="s">
        <v>59</v>
      </c>
      <c r="B28">
        <v>2021</v>
      </c>
      <c r="C28">
        <v>-182</v>
      </c>
    </row>
    <row r="29" spans="1:3" x14ac:dyDescent="0.35">
      <c r="A29" t="s">
        <v>59</v>
      </c>
      <c r="B29">
        <v>2022</v>
      </c>
      <c r="C29">
        <v>-362</v>
      </c>
    </row>
    <row r="30" spans="1:3" x14ac:dyDescent="0.35">
      <c r="A30" t="s">
        <v>59</v>
      </c>
      <c r="B30">
        <v>2023</v>
      </c>
      <c r="C30">
        <v>-310</v>
      </c>
    </row>
    <row r="31" spans="1:3" x14ac:dyDescent="0.35">
      <c r="A31" t="s">
        <v>59</v>
      </c>
      <c r="B31">
        <v>2024</v>
      </c>
      <c r="C31">
        <v>-795</v>
      </c>
    </row>
    <row r="32" spans="1:3" x14ac:dyDescent="0.35">
      <c r="A32" t="s">
        <v>65</v>
      </c>
      <c r="B32">
        <v>2020</v>
      </c>
      <c r="C32">
        <v>-429</v>
      </c>
    </row>
    <row r="33" spans="1:3" x14ac:dyDescent="0.35">
      <c r="A33" t="s">
        <v>65</v>
      </c>
      <c r="B33">
        <v>2021</v>
      </c>
      <c r="C33">
        <v>-440</v>
      </c>
    </row>
    <row r="34" spans="1:3" x14ac:dyDescent="0.35">
      <c r="A34" t="s">
        <v>65</v>
      </c>
      <c r="B34">
        <v>2022</v>
      </c>
      <c r="C34">
        <v>-545</v>
      </c>
    </row>
    <row r="35" spans="1:3" x14ac:dyDescent="0.35">
      <c r="A35" t="s">
        <v>65</v>
      </c>
      <c r="B35">
        <v>2023</v>
      </c>
      <c r="C35">
        <v>-447</v>
      </c>
    </row>
    <row r="36" spans="1:3" x14ac:dyDescent="0.35">
      <c r="A36" t="s">
        <v>65</v>
      </c>
      <c r="B36">
        <v>2024</v>
      </c>
      <c r="C36">
        <v>-1229</v>
      </c>
    </row>
    <row r="37" spans="1:3" x14ac:dyDescent="0.35">
      <c r="A37" t="s">
        <v>70</v>
      </c>
      <c r="B37">
        <v>2020</v>
      </c>
      <c r="C37">
        <v>-225</v>
      </c>
    </row>
    <row r="38" spans="1:3" x14ac:dyDescent="0.35">
      <c r="A38" t="s">
        <v>70</v>
      </c>
      <c r="B38">
        <v>2021</v>
      </c>
      <c r="C38">
        <v>-102</v>
      </c>
    </row>
    <row r="39" spans="1:3" x14ac:dyDescent="0.35">
      <c r="A39" t="s">
        <v>70</v>
      </c>
      <c r="B39">
        <v>2022</v>
      </c>
      <c r="C39">
        <v>0</v>
      </c>
    </row>
    <row r="40" spans="1:3" x14ac:dyDescent="0.35">
      <c r="A40" t="s">
        <v>70</v>
      </c>
      <c r="B40">
        <v>2023</v>
      </c>
      <c r="C40">
        <v>-11</v>
      </c>
    </row>
    <row r="41" spans="1:3" x14ac:dyDescent="0.35">
      <c r="A41" t="s">
        <v>70</v>
      </c>
      <c r="B41">
        <v>2024</v>
      </c>
      <c r="C41">
        <v>85</v>
      </c>
    </row>
    <row r="42" spans="1:3" x14ac:dyDescent="0.35">
      <c r="A42" t="s">
        <v>75</v>
      </c>
      <c r="B42">
        <v>2020</v>
      </c>
      <c r="C42">
        <v>-184</v>
      </c>
    </row>
    <row r="43" spans="1:3" x14ac:dyDescent="0.35">
      <c r="A43" t="s">
        <v>75</v>
      </c>
      <c r="B43">
        <v>2021</v>
      </c>
      <c r="C43">
        <v>152</v>
      </c>
    </row>
    <row r="44" spans="1:3" x14ac:dyDescent="0.35">
      <c r="A44" t="s">
        <v>75</v>
      </c>
      <c r="B44">
        <v>2022</v>
      </c>
      <c r="C44">
        <v>2</v>
      </c>
    </row>
    <row r="45" spans="1:3" x14ac:dyDescent="0.35">
      <c r="A45" t="s">
        <v>75</v>
      </c>
      <c r="B45">
        <v>2023</v>
      </c>
      <c r="C45">
        <v>118</v>
      </c>
    </row>
    <row r="46" spans="1:3" x14ac:dyDescent="0.35">
      <c r="A46" t="s">
        <v>75</v>
      </c>
      <c r="B46">
        <v>2024</v>
      </c>
      <c r="C46">
        <v>-243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workbookViewId="0">
      <selection activeCell="M14" sqref="M14"/>
    </sheetView>
  </sheetViews>
  <sheetFormatPr defaultRowHeight="14.5" x14ac:dyDescent="0.35"/>
  <cols>
    <col min="1" max="6" width="12" customWidth="1"/>
  </cols>
  <sheetData>
    <row r="1" spans="1:6" x14ac:dyDescent="0.35">
      <c r="A1" s="2" t="s">
        <v>93</v>
      </c>
      <c r="B1" t="s">
        <v>94</v>
      </c>
      <c r="C1" t="s">
        <v>95</v>
      </c>
      <c r="D1" t="s">
        <v>96</v>
      </c>
      <c r="E1" t="s">
        <v>97</v>
      </c>
      <c r="F1" t="s">
        <v>98</v>
      </c>
    </row>
    <row r="2" spans="1:6" x14ac:dyDescent="0.35">
      <c r="A2" s="2" t="s">
        <v>23</v>
      </c>
    </row>
    <row r="4" spans="1:6" x14ac:dyDescent="0.35">
      <c r="A4" s="1" t="s">
        <v>24</v>
      </c>
      <c r="B4" s="1" t="s">
        <v>25</v>
      </c>
      <c r="C4" s="1" t="s">
        <v>26</v>
      </c>
      <c r="D4" s="1" t="s">
        <v>27</v>
      </c>
      <c r="E4" s="1" t="s">
        <v>28</v>
      </c>
      <c r="F4" s="1" t="s">
        <v>29</v>
      </c>
    </row>
    <row r="5" spans="1:6" x14ac:dyDescent="0.35">
      <c r="A5" t="s">
        <v>30</v>
      </c>
      <c r="B5" t="s">
        <v>31</v>
      </c>
      <c r="C5" t="s">
        <v>32</v>
      </c>
      <c r="D5" t="s">
        <v>33</v>
      </c>
      <c r="E5" t="s">
        <v>34</v>
      </c>
      <c r="F5" t="s">
        <v>35</v>
      </c>
    </row>
    <row r="6" spans="1:6" x14ac:dyDescent="0.35">
      <c r="A6" t="s">
        <v>36</v>
      </c>
      <c r="B6" t="s">
        <v>37</v>
      </c>
      <c r="C6" t="s">
        <v>38</v>
      </c>
      <c r="D6" t="s">
        <v>39</v>
      </c>
      <c r="E6" t="s">
        <v>40</v>
      </c>
      <c r="F6" t="s">
        <v>41</v>
      </c>
    </row>
    <row r="7" spans="1:6" x14ac:dyDescent="0.35">
      <c r="A7" t="s">
        <v>42</v>
      </c>
      <c r="B7" t="s">
        <v>43</v>
      </c>
      <c r="C7" t="s">
        <v>44</v>
      </c>
      <c r="D7" t="s">
        <v>45</v>
      </c>
      <c r="E7" t="s">
        <v>46</v>
      </c>
      <c r="F7" t="s">
        <v>47</v>
      </c>
    </row>
    <row r="8" spans="1:6" x14ac:dyDescent="0.35">
      <c r="A8" t="s">
        <v>48</v>
      </c>
      <c r="B8" t="s">
        <v>49</v>
      </c>
      <c r="C8" t="s">
        <v>50</v>
      </c>
      <c r="D8" t="s">
        <v>51</v>
      </c>
      <c r="E8" t="s">
        <v>52</v>
      </c>
      <c r="F8" t="s">
        <v>52</v>
      </c>
    </row>
    <row r="9" spans="1:6" x14ac:dyDescent="0.35">
      <c r="A9" t="s">
        <v>53</v>
      </c>
      <c r="B9" t="s">
        <v>54</v>
      </c>
      <c r="C9" t="s">
        <v>55</v>
      </c>
      <c r="D9" t="s">
        <v>56</v>
      </c>
      <c r="E9" t="s">
        <v>57</v>
      </c>
      <c r="F9" t="s">
        <v>58</v>
      </c>
    </row>
    <row r="10" spans="1:6" x14ac:dyDescent="0.35">
      <c r="A10" t="s">
        <v>59</v>
      </c>
      <c r="B10" t="s">
        <v>60</v>
      </c>
      <c r="C10" t="s">
        <v>61</v>
      </c>
      <c r="D10" t="s">
        <v>62</v>
      </c>
      <c r="E10" t="s">
        <v>63</v>
      </c>
      <c r="F10" t="s">
        <v>64</v>
      </c>
    </row>
    <row r="11" spans="1:6" x14ac:dyDescent="0.35">
      <c r="A11" t="s">
        <v>65</v>
      </c>
      <c r="B11" t="s">
        <v>66</v>
      </c>
      <c r="C11" t="s">
        <v>67</v>
      </c>
      <c r="D11" t="s">
        <v>68</v>
      </c>
      <c r="E11" t="s">
        <v>69</v>
      </c>
      <c r="F11">
        <v>-1229</v>
      </c>
    </row>
    <row r="12" spans="1:6" x14ac:dyDescent="0.35">
      <c r="A12" t="s">
        <v>70</v>
      </c>
      <c r="B12" t="s">
        <v>71</v>
      </c>
      <c r="C12" t="s">
        <v>72</v>
      </c>
      <c r="D12" t="s">
        <v>73</v>
      </c>
      <c r="E12" t="s">
        <v>74</v>
      </c>
      <c r="F12">
        <v>85</v>
      </c>
    </row>
    <row r="13" spans="1:6" x14ac:dyDescent="0.35">
      <c r="A13" t="s">
        <v>75</v>
      </c>
      <c r="B13">
        <v>-184</v>
      </c>
      <c r="C13">
        <v>152</v>
      </c>
      <c r="D13">
        <v>2</v>
      </c>
      <c r="E13">
        <v>118</v>
      </c>
      <c r="F13">
        <v>-243</v>
      </c>
    </row>
    <row r="14" spans="1:6" x14ac:dyDescent="0.35">
      <c r="A14" s="3" t="s">
        <v>76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0"/>
  <sheetViews>
    <sheetView workbookViewId="0">
      <selection sqref="A1:B10"/>
    </sheetView>
  </sheetViews>
  <sheetFormatPr defaultRowHeight="14.5" x14ac:dyDescent="0.35"/>
  <cols>
    <col min="1" max="1" width="26" customWidth="1"/>
    <col min="2" max="2" width="10" customWidth="1"/>
  </cols>
  <sheetData>
    <row r="1" spans="1:2" x14ac:dyDescent="0.35">
      <c r="A1" s="1" t="s">
        <v>77</v>
      </c>
      <c r="B1" s="1" t="s">
        <v>24</v>
      </c>
    </row>
    <row r="2" spans="1:2" x14ac:dyDescent="0.35">
      <c r="A2" t="s">
        <v>2</v>
      </c>
      <c r="B2" t="s">
        <v>30</v>
      </c>
    </row>
    <row r="3" spans="1:2" x14ac:dyDescent="0.35">
      <c r="A3" t="s">
        <v>3</v>
      </c>
      <c r="B3" t="s">
        <v>36</v>
      </c>
    </row>
    <row r="4" spans="1:2" x14ac:dyDescent="0.35">
      <c r="A4" t="s">
        <v>9</v>
      </c>
      <c r="B4" t="s">
        <v>42</v>
      </c>
    </row>
    <row r="5" spans="1:2" x14ac:dyDescent="0.35">
      <c r="A5" t="s">
        <v>78</v>
      </c>
      <c r="B5" t="s">
        <v>48</v>
      </c>
    </row>
    <row r="6" spans="1:2" x14ac:dyDescent="0.35">
      <c r="A6" t="s">
        <v>16</v>
      </c>
      <c r="B6" t="s">
        <v>53</v>
      </c>
    </row>
    <row r="7" spans="1:2" x14ac:dyDescent="0.35">
      <c r="A7" t="s">
        <v>17</v>
      </c>
      <c r="B7" t="s">
        <v>59</v>
      </c>
    </row>
    <row r="8" spans="1:2" x14ac:dyDescent="0.35">
      <c r="A8" t="s">
        <v>18</v>
      </c>
      <c r="B8" t="s">
        <v>65</v>
      </c>
    </row>
    <row r="9" spans="1:2" x14ac:dyDescent="0.35">
      <c r="A9" t="s">
        <v>19</v>
      </c>
      <c r="B9" t="s">
        <v>70</v>
      </c>
    </row>
    <row r="10" spans="1:2" x14ac:dyDescent="0.35">
      <c r="A10" t="s">
        <v>79</v>
      </c>
      <c r="B10" t="s">
        <v>75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0"/>
  <sheetViews>
    <sheetView workbookViewId="0">
      <selection activeCell="A8" sqref="A8"/>
    </sheetView>
  </sheetViews>
  <sheetFormatPr defaultRowHeight="14.5" x14ac:dyDescent="0.35"/>
  <cols>
    <col min="1" max="1" width="10" customWidth="1"/>
    <col min="2" max="2" width="22" customWidth="1"/>
    <col min="3" max="3" width="18" customWidth="1"/>
    <col min="4" max="4" width="10.1796875" customWidth="1"/>
    <col min="5" max="5" width="9.6328125" customWidth="1"/>
  </cols>
  <sheetData>
    <row r="1" spans="1:5" x14ac:dyDescent="0.35">
      <c r="A1" s="1" t="s">
        <v>24</v>
      </c>
      <c r="B1" s="1" t="s">
        <v>1</v>
      </c>
      <c r="C1" s="1" t="s">
        <v>80</v>
      </c>
      <c r="D1" s="1" t="s">
        <v>81</v>
      </c>
      <c r="E1" s="1" t="s">
        <v>82</v>
      </c>
    </row>
    <row r="2" spans="1:5" x14ac:dyDescent="0.35">
      <c r="A2" t="s">
        <v>30</v>
      </c>
      <c r="B2" t="s">
        <v>2</v>
      </c>
      <c r="C2" t="s">
        <v>83</v>
      </c>
      <c r="D2" t="s">
        <v>84</v>
      </c>
      <c r="E2" t="s">
        <v>85</v>
      </c>
    </row>
    <row r="3" spans="1:5" x14ac:dyDescent="0.35">
      <c r="A3" t="s">
        <v>36</v>
      </c>
      <c r="B3" t="s">
        <v>3</v>
      </c>
      <c r="C3" t="s">
        <v>83</v>
      </c>
      <c r="D3" t="s">
        <v>84</v>
      </c>
      <c r="E3" t="s">
        <v>85</v>
      </c>
    </row>
    <row r="4" spans="1:5" x14ac:dyDescent="0.35">
      <c r="A4" t="s">
        <v>42</v>
      </c>
      <c r="B4" t="s">
        <v>86</v>
      </c>
      <c r="C4" t="s">
        <v>83</v>
      </c>
      <c r="D4" t="s">
        <v>84</v>
      </c>
      <c r="E4" t="s">
        <v>85</v>
      </c>
    </row>
    <row r="5" spans="1:5" x14ac:dyDescent="0.35">
      <c r="A5" t="s">
        <v>53</v>
      </c>
      <c r="B5" t="s">
        <v>87</v>
      </c>
      <c r="C5" t="s">
        <v>83</v>
      </c>
      <c r="D5" t="s">
        <v>84</v>
      </c>
      <c r="E5" t="s">
        <v>85</v>
      </c>
    </row>
    <row r="6" spans="1:5" x14ac:dyDescent="0.35">
      <c r="A6" t="s">
        <v>48</v>
      </c>
      <c r="B6" t="s">
        <v>88</v>
      </c>
      <c r="C6" t="s">
        <v>89</v>
      </c>
      <c r="D6" t="s">
        <v>84</v>
      </c>
      <c r="E6" t="s">
        <v>85</v>
      </c>
    </row>
    <row r="7" spans="1:5" x14ac:dyDescent="0.35">
      <c r="A7" t="s">
        <v>59</v>
      </c>
      <c r="B7" t="s">
        <v>17</v>
      </c>
      <c r="C7" t="s">
        <v>89</v>
      </c>
      <c r="D7" t="s">
        <v>84</v>
      </c>
      <c r="E7" t="s">
        <v>85</v>
      </c>
    </row>
    <row r="8" spans="1:5" x14ac:dyDescent="0.35">
      <c r="A8" t="s">
        <v>65</v>
      </c>
      <c r="B8" t="s">
        <v>18</v>
      </c>
      <c r="C8" t="s">
        <v>90</v>
      </c>
      <c r="D8" t="s">
        <v>84</v>
      </c>
      <c r="E8" t="s">
        <v>85</v>
      </c>
    </row>
    <row r="9" spans="1:5" x14ac:dyDescent="0.35">
      <c r="A9" t="s">
        <v>70</v>
      </c>
      <c r="B9" t="s">
        <v>91</v>
      </c>
      <c r="C9" t="s">
        <v>90</v>
      </c>
      <c r="D9" t="s">
        <v>84</v>
      </c>
      <c r="E9" t="s">
        <v>85</v>
      </c>
    </row>
    <row r="10" spans="1:5" x14ac:dyDescent="0.35">
      <c r="A10" t="s">
        <v>75</v>
      </c>
      <c r="B10" t="s">
        <v>92</v>
      </c>
      <c r="C10" t="s">
        <v>90</v>
      </c>
      <c r="D10" t="s">
        <v>84</v>
      </c>
      <c r="E10" t="s">
        <v>85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12F7791-C7AA-4E3C-A207-78C64DA1A2FC}">
  <ds:schemaRefs/>
</ds:datastoreItem>
</file>

<file path=customXml/itemProps2.xml><?xml version="1.0" encoding="utf-8"?>
<ds:datastoreItem xmlns:ds="http://schemas.openxmlformats.org/officeDocument/2006/customXml" ds:itemID="{4BE7478B-29D4-4596-97F5-6FCF4AB5E0E2}">
  <ds:schemaRefs/>
</ds:datastoreItem>
</file>

<file path=customXml/itemProps3.xml><?xml version="1.0" encoding="utf-8"?>
<ds:datastoreItem xmlns:ds="http://schemas.openxmlformats.org/officeDocument/2006/customXml" ds:itemID="{6744D370-5FE5-48D0-A428-ED4017568387}">
  <ds:schemaRefs/>
</ds:datastoreItem>
</file>

<file path=customXml/itemProps4.xml><?xml version="1.0" encoding="utf-8"?>
<ds:datastoreItem xmlns:ds="http://schemas.openxmlformats.org/officeDocument/2006/customXml" ds:itemID="{01855717-31F1-4390-B2B1-3A449987F491}">
  <ds:schemaRefs/>
</ds:datastoreItem>
</file>

<file path=customXml/itemProps5.xml><?xml version="1.0" encoding="utf-8"?>
<ds:datastoreItem xmlns:ds="http://schemas.openxmlformats.org/officeDocument/2006/customXml" ds:itemID="{8425AAAB-B285-4A2D-A167-3954639870A0}">
  <ds:schemaRefs/>
</ds:datastoreItem>
</file>

<file path=customXml/itemProps6.xml><?xml version="1.0" encoding="utf-8"?>
<ds:datastoreItem xmlns:ds="http://schemas.openxmlformats.org/officeDocument/2006/customXml" ds:itemID="{18EF645B-4651-4852-A236-1557C7FDFF82}">
  <ds:schemaRefs/>
</ds:datastoreItem>
</file>

<file path=customXml/itemProps7.xml><?xml version="1.0" encoding="utf-8"?>
<ds:datastoreItem xmlns:ds="http://schemas.openxmlformats.org/officeDocument/2006/customXml" ds:itemID="{E247B74D-E299-4DA2-8805-8CF015AC7B45}">
  <ds:schemaRefs/>
</ds:datastoreItem>
</file>

<file path=customXml/itemProps8.xml><?xml version="1.0" encoding="utf-8"?>
<ds:datastoreItem xmlns:ds="http://schemas.openxmlformats.org/officeDocument/2006/customXml" ds:itemID="{9227DD5A-DD15-422F-A805-1765B9A9A7B4}">
  <ds:schemaRefs/>
</ds:datastoreItem>
</file>

<file path=customXml/itemProps9.xml><?xml version="1.0" encoding="utf-8"?>
<ds:datastoreItem xmlns:ds="http://schemas.openxmlformats.org/officeDocument/2006/customXml" ds:itemID="{3644AFD8-5A7F-4C86-B722-7AF16F610D22}">
  <ds:schemaRefs/>
</ds:datastoreItem>
</file>

<file path=customXml/itemProps10.xml><?xml version="1.0" encoding="utf-8"?>
<ds:datastoreItem xmlns:ds="http://schemas.openxmlformats.org/officeDocument/2006/customXml" ds:itemID="{6F9ED793-653E-4633-A728-67DA83EE7656}">
  <ds:schemaRefs/>
</ds:datastoreItem>
</file>

<file path=customXml/itemProps11.xml><?xml version="1.0" encoding="utf-8"?>
<ds:datastoreItem xmlns:ds="http://schemas.openxmlformats.org/officeDocument/2006/customXml" ds:itemID="{34CC067C-4334-4E33-AC8F-96CAEE32C7D8}">
  <ds:schemaRefs/>
</ds:datastoreItem>
</file>

<file path=customXml/itemProps12.xml><?xml version="1.0" encoding="utf-8"?>
<ds:datastoreItem xmlns:ds="http://schemas.openxmlformats.org/officeDocument/2006/customXml" ds:itemID="{AFCB5EB6-4074-4FC9-BD93-977F520F0B06}">
  <ds:schemaRefs/>
</ds:datastoreItem>
</file>

<file path=customXml/itemProps13.xml><?xml version="1.0" encoding="utf-8"?>
<ds:datastoreItem xmlns:ds="http://schemas.openxmlformats.org/officeDocument/2006/customXml" ds:itemID="{EB92D044-128B-4DE8-BC02-2595B4FF4DFB}">
  <ds:schemaRefs/>
</ds:datastoreItem>
</file>

<file path=customXml/itemProps14.xml><?xml version="1.0" encoding="utf-8"?>
<ds:datastoreItem xmlns:ds="http://schemas.openxmlformats.org/officeDocument/2006/customXml" ds:itemID="{58E5D90C-B09C-48A6-8DE1-E1E4467E5724}">
  <ds:schemaRefs>
    <ds:schemaRef ds:uri="http://schemas.microsoft.com/DataMashup"/>
  </ds:schemaRefs>
</ds:datastoreItem>
</file>

<file path=customXml/itemProps15.xml><?xml version="1.0" encoding="utf-8"?>
<ds:datastoreItem xmlns:ds="http://schemas.openxmlformats.org/officeDocument/2006/customXml" ds:itemID="{D109C574-69B2-440A-BABF-8AB3641C2BDF}">
  <ds:schemaRefs/>
</ds:datastoreItem>
</file>

<file path=customXml/itemProps16.xml><?xml version="1.0" encoding="utf-8"?>
<ds:datastoreItem xmlns:ds="http://schemas.openxmlformats.org/officeDocument/2006/customXml" ds:itemID="{9942D366-DE15-473A-B9CB-3877FFD50E0E}">
  <ds:schemaRefs/>
</ds:datastoreItem>
</file>

<file path=customXml/itemProps17.xml><?xml version="1.0" encoding="utf-8"?>
<ds:datastoreItem xmlns:ds="http://schemas.openxmlformats.org/officeDocument/2006/customXml" ds:itemID="{5D2C30D9-EDC3-4C3D-956D-177BD9CA673B}">
  <ds:schemaRefs/>
</ds:datastoreItem>
</file>

<file path=customXml/itemProps18.xml><?xml version="1.0" encoding="utf-8"?>
<ds:datastoreItem xmlns:ds="http://schemas.openxmlformats.org/officeDocument/2006/customXml" ds:itemID="{420F292F-0078-4B4C-B049-6309752860A6}">
  <ds:schemaRefs/>
</ds:datastoreItem>
</file>

<file path=customXml/itemProps19.xml><?xml version="1.0" encoding="utf-8"?>
<ds:datastoreItem xmlns:ds="http://schemas.openxmlformats.org/officeDocument/2006/customXml" ds:itemID="{9D997573-1C11-45AE-A5C3-C2F945B60B0E}">
  <ds:schemaRefs/>
</ds:datastoreItem>
</file>

<file path=customXml/itemProps20.xml><?xml version="1.0" encoding="utf-8"?>
<ds:datastoreItem xmlns:ds="http://schemas.openxmlformats.org/officeDocument/2006/customXml" ds:itemID="{0AE9F44F-BB34-410D-89F7-57CA279E1684}">
  <ds:schemaRefs/>
</ds:datastoreItem>
</file>

<file path=customXml/itemProps21.xml><?xml version="1.0" encoding="utf-8"?>
<ds:datastoreItem xmlns:ds="http://schemas.openxmlformats.org/officeDocument/2006/customXml" ds:itemID="{4880DD65-5B40-4AEC-AEC4-64AA6EFD3B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Dashboard</vt:lpstr>
      <vt:lpstr>RevenueLomg</vt:lpstr>
      <vt:lpstr>RevenueRaw</vt:lpstr>
      <vt:lpstr>NetIncomeLong</vt:lpstr>
      <vt:lpstr>NetIncomeRaw</vt:lpstr>
      <vt:lpstr>NameLookup</vt:lpstr>
      <vt:lpstr>CompanyMaster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Marika Lisoni</cp:lastModifiedBy>
  <dcterms:created xsi:type="dcterms:W3CDTF">2026-06-30T07:53:20Z</dcterms:created>
  <dcterms:modified xsi:type="dcterms:W3CDTF">2026-07-01T11:51:11Z</dcterms:modified>
</cp:coreProperties>
</file>